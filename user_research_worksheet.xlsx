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AG_chatbot\"/>
    </mc:Choice>
  </mc:AlternateContent>
  <xr:revisionPtr revIDLastSave="0" documentId="8_{7A55A8A1-A5F4-4B70-A397-4AFFAD0EA0A1}" xr6:coauthVersionLast="47" xr6:coauthVersionMax="47" xr10:uidLastSave="{00000000-0000-0000-0000-000000000000}"/>
  <bookViews>
    <workbookView xWindow="33570" yWindow="4125" windowWidth="21600" windowHeight="11235" tabRatio="500" activeTab="4" xr2:uid="{00000000-000D-0000-FFFF-FFFF00000000}"/>
  </bookViews>
  <sheets>
    <sheet name="Summary" sheetId="1" r:id="rId1"/>
    <sheet name="Leading Causes" sheetId="2" r:id="rId2"/>
    <sheet name="Stress Evidence" sheetId="3" r:id="rId3"/>
    <sheet name="Attribution Calc" sheetId="4" r:id="rId4"/>
    <sheet name="Crash Estimates" sheetId="5" r:id="rId5"/>
    <sheet name="Crash Case Data" sheetId="6" r:id="rId6"/>
    <sheet name="Sourc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3" i="6" l="1"/>
  <c r="E52" i="6"/>
  <c r="E51" i="6"/>
  <c r="D47" i="6"/>
  <c r="C47" i="6"/>
  <c r="D44" i="6"/>
  <c r="E44" i="6" s="1"/>
  <c r="D43" i="6"/>
  <c r="E43" i="6" s="1"/>
  <c r="E42" i="6"/>
  <c r="D42" i="6"/>
  <c r="D41" i="6"/>
  <c r="E41" i="6" s="1"/>
  <c r="E40" i="6"/>
  <c r="D40" i="6"/>
  <c r="D39" i="6"/>
  <c r="E39" i="6" s="1"/>
  <c r="E22" i="6"/>
  <c r="D22" i="6"/>
  <c r="D21" i="6"/>
  <c r="E21" i="6" s="1"/>
  <c r="D19" i="6"/>
  <c r="E19" i="6" s="1"/>
  <c r="D18" i="6"/>
  <c r="E18" i="6" s="1"/>
  <c r="D16" i="6"/>
  <c r="E16" i="6" s="1"/>
  <c r="D15" i="6"/>
  <c r="E15" i="6" s="1"/>
  <c r="E14" i="6"/>
  <c r="D14" i="6"/>
  <c r="D8" i="6"/>
  <c r="E8" i="6" s="1"/>
  <c r="E7" i="6"/>
  <c r="D7" i="6"/>
  <c r="D6" i="6"/>
  <c r="E6" i="6" s="1"/>
  <c r="E40" i="5"/>
  <c r="D40" i="5"/>
  <c r="C40" i="5"/>
  <c r="C39" i="5"/>
  <c r="E39" i="5" s="1"/>
  <c r="C38" i="5"/>
  <c r="E38" i="5" s="1"/>
  <c r="C37" i="5"/>
  <c r="E37" i="5" s="1"/>
  <c r="E36" i="5"/>
  <c r="D36" i="5"/>
  <c r="C36" i="5"/>
  <c r="C25" i="5"/>
  <c r="E25" i="5" s="1"/>
  <c r="E24" i="5"/>
  <c r="D24" i="5"/>
  <c r="C24" i="5"/>
  <c r="C23" i="5"/>
  <c r="E23" i="5" s="1"/>
  <c r="C12" i="5"/>
  <c r="C9" i="5"/>
  <c r="C22" i="5" s="1"/>
  <c r="B31" i="4"/>
  <c r="C31" i="4" s="1"/>
  <c r="C30" i="4"/>
  <c r="C29" i="4"/>
  <c r="C28" i="4"/>
  <c r="C24" i="4"/>
  <c r="B24" i="4"/>
  <c r="B23" i="4"/>
  <c r="C23" i="4" s="1"/>
  <c r="B22" i="4"/>
  <c r="C22" i="4" s="1"/>
  <c r="B21" i="4"/>
  <c r="C21" i="4" s="1"/>
  <c r="A20" i="4"/>
  <c r="B20" i="4" s="1"/>
  <c r="C20" i="4" s="1"/>
  <c r="B19" i="4"/>
  <c r="C19" i="4" s="1"/>
  <c r="B12" i="4"/>
  <c r="B14" i="4" s="1"/>
  <c r="B7" i="4"/>
  <c r="C27" i="3"/>
  <c r="C26" i="3"/>
  <c r="C25" i="3"/>
  <c r="C24" i="3"/>
  <c r="C23" i="3"/>
  <c r="E17" i="3"/>
  <c r="E18" i="3" s="1"/>
  <c r="E16" i="3"/>
  <c r="C24" i="2"/>
  <c r="C26" i="2" s="1"/>
  <c r="C23" i="2"/>
  <c r="C25" i="2" s="1"/>
  <c r="C22" i="2"/>
  <c r="C18" i="2"/>
  <c r="D18" i="2" s="1"/>
  <c r="B14" i="1" s="1"/>
  <c r="D17" i="2"/>
  <c r="C17" i="2"/>
  <c r="D16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B19" i="1"/>
  <c r="B18" i="1"/>
  <c r="B15" i="1"/>
  <c r="B13" i="1"/>
  <c r="B12" i="1"/>
  <c r="E22" i="5" l="1"/>
  <c r="D22" i="5"/>
  <c r="B13" i="4"/>
  <c r="B17" i="1" s="1"/>
  <c r="D25" i="5"/>
  <c r="D37" i="5"/>
  <c r="B16" i="1"/>
  <c r="D38" i="5"/>
  <c r="D39" i="5"/>
  <c r="D23" i="5"/>
  <c r="D29" i="5" l="1"/>
  <c r="B22" i="1" s="1"/>
  <c r="D28" i="5"/>
  <c r="D27" i="5"/>
  <c r="E29" i="5"/>
  <c r="E28" i="5"/>
  <c r="E31" i="5" s="1"/>
  <c r="E27" i="5"/>
  <c r="E30" i="5" s="1"/>
  <c r="D31" i="5" l="1"/>
  <c r="B21" i="1"/>
  <c r="D30" i="5"/>
  <c r="B20" i="1"/>
</calcChain>
</file>

<file path=xl/sharedStrings.xml><?xml version="1.0" encoding="utf-8"?>
<sst xmlns="http://schemas.openxmlformats.org/spreadsheetml/2006/main" count="632" uniqueCount="510">
  <si>
    <t>Stress, Heart Disease &amp; Driving — Research Worksheet</t>
  </si>
  <si>
    <t>US-focused. Compiled October 2026 from public sources listed on the 'Sources' tab. Prototype research aid for the stress-aware driving project.</t>
  </si>
  <si>
    <t>Colour legend</t>
  </si>
  <si>
    <t>Blue text = sourced data or hard-coded input</t>
  </si>
  <si>
    <t>Black text = formula / calculation</t>
  </si>
  <si>
    <t>Green text = value pulled from another tab</t>
  </si>
  <si>
    <t>Yellow fill = assumption you can change</t>
  </si>
  <si>
    <t>Headline numbers (all linked to other tabs)</t>
  </si>
  <si>
    <t>Metric</t>
  </si>
  <si>
    <t>Value</t>
  </si>
  <si>
    <t>Where to look</t>
  </si>
  <si>
    <t>US heart disease deaths (2024)</t>
  </si>
  <si>
    <t>Leading Causes</t>
  </si>
  <si>
    <t>Heart disease as share of all US deaths</t>
  </si>
  <si>
    <t>Heart disease + stroke as share of all US deaths</t>
  </si>
  <si>
    <t>US heart attacks per year</t>
  </si>
  <si>
    <t>Attribution Calc</t>
  </si>
  <si>
    <t>Heart attacks per year attributable to job strain (base case, if causal)</t>
  </si>
  <si>
    <t>Attribution Calc (yellow cell B9 = assumption)</t>
  </si>
  <si>
    <t>…deaths among those heart attacks per year</t>
  </si>
  <si>
    <t>US traffic deaths (2024)</t>
  </si>
  <si>
    <t>Crash Estimates</t>
  </si>
  <si>
    <t>Share of drivers in crashes precipitated by any medical emergency</t>
  </si>
  <si>
    <t>Est. heart-linked crash deaths per year — low scenario (illustrative)</t>
  </si>
  <si>
    <t>Est. heart-linked crash deaths per year — high scenario (illustrative)</t>
  </si>
  <si>
    <t>Est. heart-linked crash deaths per year — midpoint (illustrative)</t>
  </si>
  <si>
    <t>Key takeaways</t>
  </si>
  <si>
    <t>1. Heart disease is the leading cause of death in the US. Adding stroke, cardiovascular causes make up a large share of all deaths (see rows above).</t>
  </si>
  <si>
    <t>2. In observational studies, stress is linked to higher heart attack risk (roughly 1.2× to 6× depending on exposure and design), but the share of heart attacks attributable to job strain is modest (~3.4%) compared with smoking (~36%).</t>
  </si>
  <si>
    <t>3. Driver heart events cause a small share of crashes, but those crashes are more often single-vehicle and severe. In autopsy series, most drivers who suffered cardiac arrest at the wheel managed to stop the vehicle.</t>
  </si>
  <si>
    <t>4. Most cardiac deaths at the wheel occur in drivers with a known cardiac history — an identifiable higher-risk group (Birmingham series).</t>
  </si>
  <si>
    <t>5. Heart-linked crash deaths cannot be counted directly; 'Crash Estimates' shows an illustrative range from several methods. Treat it as order of magnitude only.</t>
  </si>
  <si>
    <t>6. Heart rate and HRV alone cannot distinguish stress from an ischemic event, so a stress-detection system should not claim to detect heart attacks.</t>
  </si>
  <si>
    <t>Tab guide</t>
  </si>
  <si>
    <t>Top 10 US causes of death (2024) with heart disease highlighted, plus chart.</t>
  </si>
  <si>
    <t>Stress Evidence</t>
  </si>
  <si>
    <t>Studies linking stress to heart attack risk, with relative risks and caveats.</t>
  </si>
  <si>
    <t>Adjustable calculator: how many heart attacks/deaths might stress account for.</t>
  </si>
  <si>
    <t>Adjustable scenarios for US crash deaths linked to a driver's heart condition.</t>
  </si>
  <si>
    <t>Crash Case Data</t>
  </si>
  <si>
    <t>Study-level breakdown of people who die in crashes linked to heart conditions.</t>
  </si>
  <si>
    <t>Sources</t>
  </si>
  <si>
    <t>Full source list with URLs, source type, quality notes and limitations.</t>
  </si>
  <si>
    <t>Leading Causes of Death — United States, 2024</t>
  </si>
  <si>
    <t>Underlying cause of death. Source S1 (CDC/NCHS, Mortality in the United States, 2024). Blue = sourced data; black = formula.</t>
  </si>
  <si>
    <t>Rank</t>
  </si>
  <si>
    <t>Cause of death</t>
  </si>
  <si>
    <t>Deaths (2024)</t>
  </si>
  <si>
    <t>% of all deaths</t>
  </si>
  <si>
    <t>Cardio-vascular?</t>
  </si>
  <si>
    <t>Stress / heart link covered in this workbook</t>
  </si>
  <si>
    <t>Heart disease</t>
  </si>
  <si>
    <t>Yes</t>
  </si>
  <si>
    <t>Yes — see 'Stress Evidence' and 'Attribution Calc'. Stress is associated with higher heart attack risk (observational evidence).</t>
  </si>
  <si>
    <t>Cancer</t>
  </si>
  <si>
    <t>No</t>
  </si>
  <si>
    <t>Not assessed.</t>
  </si>
  <si>
    <t>Accidents (unintentional injuries)</t>
  </si>
  <si>
    <t>Indirect — traffic crashes caused by a driver's heart condition; see 'Crash Estimates' and 'Crash Case Data'.</t>
  </si>
  <si>
    <t>Stroke (cerebrovascular diseases)</t>
  </si>
  <si>
    <t>Partial — a post-9/11 study counted strokes among stress-linked cardiovascular ailments (S9). Not otherwise assessed.</t>
  </si>
  <si>
    <t>Chronic lower respiratory diseases</t>
  </si>
  <si>
    <t>Alzheimer's disease</t>
  </si>
  <si>
    <t>Diabetes</t>
  </si>
  <si>
    <t>Not assessed (diabetic reactions do appear among driver medical emergencies; see 'Crash Case Data').</t>
  </si>
  <si>
    <t>Nephritis, nephrotic syndrome, nephrosis</t>
  </si>
  <si>
    <t>Chronic liver disease and cirrhosis</t>
  </si>
  <si>
    <t>Suicide</t>
  </si>
  <si>
    <t>All causes (total deaths, 2024)</t>
  </si>
  <si>
    <t>Top-10 causes combined</t>
  </si>
  <si>
    <t>Heart disease + stroke (cardiovascular)</t>
  </si>
  <si>
    <t>Context: heart disease deaths vs. heart attacks vs. traffic deaths</t>
  </si>
  <si>
    <t>Measure</t>
  </si>
  <si>
    <t>Note</t>
  </si>
  <si>
    <t>US heart attacks per year (CDC)</t>
  </si>
  <si>
    <t>Heart attacks are one event type within heart disease; not every heart attack is fatal.</t>
  </si>
  <si>
    <t>Heart disease deaths (2024)</t>
  </si>
  <si>
    <t>US traffic deaths, 2024 (NHTSA)</t>
  </si>
  <si>
    <t>Heart disease deaths per traffic death</t>
  </si>
  <si>
    <t>Traffic deaths as % of unintentional-injury deaths (approx.)</t>
  </si>
  <si>
    <t>Approximate: NHTSA and CDC define and count deaths differently (different agencies, case definitions).</t>
  </si>
  <si>
    <t>Evidence Linking Stress to Heart Attack Risk</t>
  </si>
  <si>
    <t>Relative risk (RR) = how many times more likely vs. an unexposed group. Almost all of this evidence is observational — association, not proven causation.</t>
  </si>
  <si>
    <t>#</t>
  </si>
  <si>
    <t>Study / event</t>
  </si>
  <si>
    <t>Population / design</t>
  </si>
  <si>
    <t>Exposure</t>
  </si>
  <si>
    <t>Unit</t>
  </si>
  <si>
    <t>Plain-language finding</t>
  </si>
  <si>
    <t>Source ID</t>
  </si>
  <si>
    <t>Source type</t>
  </si>
  <si>
    <t>Limitations</t>
  </si>
  <si>
    <t>Job-strain meta-analysis (Kivimäki et al., Lancet)</t>
  </si>
  <si>
    <t>~200,000 Europeans, no prior heart disease; 13 studies; ~7.5-yr follow-up</t>
  </si>
  <si>
    <t>High job strain (heavy demands, little control)</t>
  </si>
  <si>
    <t>Relative risk</t>
  </si>
  <si>
    <t>× risk (RR)</t>
  </si>
  <si>
    <t>People in high-strain jobs were 23% more likely to have a heart attack.</t>
  </si>
  <si>
    <t>S4, S5</t>
  </si>
  <si>
    <t>News report of peer-reviewed study</t>
  </si>
  <si>
    <t>Authors state this shows association, not causation (S5).</t>
  </si>
  <si>
    <t>Job-strain meta-analysis — attributable share</t>
  </si>
  <si>
    <t>Same as above</t>
  </si>
  <si>
    <t>High job strain</t>
  </si>
  <si>
    <t>Attributable fraction</t>
  </si>
  <si>
    <t>% of heart attacks</t>
  </si>
  <si>
    <t>If the link were causal, ~3.4% of heart attacks would be attributable to job strain (vs. ~36% for smoking).</t>
  </si>
  <si>
    <t>Europe-only workforce sample; 'if causal' estimate.</t>
  </si>
  <si>
    <t>INTERHEART (Rosengren et al., Lancet 2004)</t>
  </si>
  <si>
    <t>&gt;24,000 people, 52 countries; half had a heart attack (case-control)</t>
  </si>
  <si>
    <t>Persistent severe stress</t>
  </si>
  <si>
    <t>Persistent severe stress was linked to ~2.5× higher heart attack risk.</t>
  </si>
  <si>
    <t>S6</t>
  </si>
  <si>
    <t>Summary of peer-reviewed study</t>
  </si>
  <si>
    <t>Case-control: stress measured by recall after the event; recall bias possible.</t>
  </si>
  <si>
    <t>INTERHEART — stress plus depression</t>
  </si>
  <si>
    <t>Stress and depression together</t>
  </si>
  <si>
    <t>Stress combined with depression was linked to roughly threefold risk.</t>
  </si>
  <si>
    <t>Same limitations as above.</t>
  </si>
  <si>
    <t>INTERHEART — smoking (comparator)</t>
  </si>
  <si>
    <t>Smoking</t>
  </si>
  <si>
    <t>× risk (RR) ≈</t>
  </si>
  <si>
    <t>Smoking raised risk 'nearly three times' — shown as ≈3.0 for comparison with stress.</t>
  </si>
  <si>
    <t>Source gives 'nearly 3×'; 3.0 is an approximation.</t>
  </si>
  <si>
    <t>SHEEP — sudden job stress (Stockholm)</t>
  </si>
  <si>
    <t>1,381 people who had a first heart attack; case-crossover design</t>
  </si>
  <si>
    <t>Sudden intense job stress in prior 24 hours</t>
  </si>
  <si>
    <t>Relative risk (24 h)</t>
  </si>
  <si>
    <t>Sudden job stress was linked to ~6× higher risk of a heart attack within 24 hours.</t>
  </si>
  <si>
    <t>S7</t>
  </si>
  <si>
    <t>Small sample of prior-MI patients; self-reported stress.</t>
  </si>
  <si>
    <t>Post-9/11 stress (Holman et al., UC Irvine)</t>
  </si>
  <si>
    <t>National sample surveyed after 9/11, followed up to 3 years</t>
  </si>
  <si>
    <t>High acute stress response after 9/11</t>
  </si>
  <si>
    <t>Increase in incidence</t>
  </si>
  <si>
    <t>% increase</t>
  </si>
  <si>
    <t>Acute stress responses linked to a 53% higher incidence of cardiovascular ailments (incl. stroke, high blood pressure).</t>
  </si>
  <si>
    <t>S9</t>
  </si>
  <si>
    <t>Self-reported diagnoses; 'ailments' are broader than heart attacks.</t>
  </si>
  <si>
    <t>Holiday-period heart deaths (AHA study)</t>
  </si>
  <si>
    <t>US heart-related deaths, Dec 25 – Jan 7</t>
  </si>
  <si>
    <t>Holiday period (stress hypothesized)</t>
  </si>
  <si>
    <t>Increase in deaths</t>
  </si>
  <si>
    <t>4.2% more heart-related deaths in the holiday window.</t>
  </si>
  <si>
    <t>S10</t>
  </si>
  <si>
    <t>News report of study</t>
  </si>
  <si>
    <t>Stress is only one possible explanation (cold, diet, delayed care).</t>
  </si>
  <si>
    <t>Calculated indicator: Hurricane Katrina (Tulane University Hospital) — source S8</t>
  </si>
  <si>
    <t>Period</t>
  </si>
  <si>
    <t>Heart attack admissions</t>
  </si>
  <si>
    <t>Total admissions</t>
  </si>
  <si>
    <t>Heart attacks as % of admissions</t>
  </si>
  <si>
    <t>Two years before Katrina</t>
  </si>
  <si>
    <t>Two years after hospital reopened</t>
  </si>
  <si>
    <t>Ratio (after ÷ before)</t>
  </si>
  <si>
    <t>Caveat: patient mix and hospital catchment changed after the storm; researchers noted higher smoking/substance use and missed medications.</t>
  </si>
  <si>
    <t>Chart data: relative risk comparison (linked to table above)</t>
  </si>
  <si>
    <t>Job strain</t>
  </si>
  <si>
    <t>INTERHEART: severe stress</t>
  </si>
  <si>
    <t>INTERHEART: stress + depression</t>
  </si>
  <si>
    <t>INTERHEART: smoking (≈)</t>
  </si>
  <si>
    <t>SHEEP: sudden job stress (24 h)</t>
  </si>
  <si>
    <t>How Many Heart Attacks Might Stress Account For?</t>
  </si>
  <si>
    <t>Illustrative arithmetic using published inputs. Yellow cells are assumptions you can change. This is NOT a published statistic.</t>
  </si>
  <si>
    <t>Input</t>
  </si>
  <si>
    <t>Source / note</t>
  </si>
  <si>
    <t>heart attacks / yr</t>
  </si>
  <si>
    <t>S2 (CDC Heart Disease Facts). Includes first-time and recurrent heart attacks.</t>
  </si>
  <si>
    <t>…of which first heart attack</t>
  </si>
  <si>
    <t>S2</t>
  </si>
  <si>
    <t>…of which recurrent</t>
  </si>
  <si>
    <t>Formula; matches CDC's ~200,000 recurrent.</t>
  </si>
  <si>
    <t>Case fatality — share of heart attack patients who die</t>
  </si>
  <si>
    <t>S3 (secondary summary of CDC data: 'about 12 percent'). Verify against CDC before citing.</t>
  </si>
  <si>
    <t>Attributable fraction — job strain (base case)</t>
  </si>
  <si>
    <t>S4/S5: ~3.4% of heart attacks attributable to job strain, if the link is causal (European workers). ASSUMPTION — change to test.</t>
  </si>
  <si>
    <t>Estimated impact (base case)</t>
  </si>
  <si>
    <t>Heart attacks attributable to job strain, per year</t>
  </si>
  <si>
    <t>Formula: US heart attacks × attributable fraction</t>
  </si>
  <si>
    <t>Deaths among those heart attacks, per year</t>
  </si>
  <si>
    <t>deaths / yr</t>
  </si>
  <si>
    <t>Formula: attributable heart attacks × case fatality</t>
  </si>
  <si>
    <t>Attributable heart attacks per day</t>
  </si>
  <si>
    <t>heart attacks / day</t>
  </si>
  <si>
    <t>Caveat: covers job strain only (not all stress), extrapolates European findings to the US, and assumes causation the study did not prove.</t>
  </si>
  <si>
    <t>Sensitivity: what if the attributable fraction were different? (illustrative — not published estimates)</t>
  </si>
  <si>
    <t>Heart attacks / yr</t>
  </si>
  <si>
    <t>Deaths / yr</t>
  </si>
  <si>
    <t>Low illustration</t>
  </si>
  <si>
    <t>Base case (linked to B9)</t>
  </si>
  <si>
    <t>Illustration</t>
  </si>
  <si>
    <t>Context: other attributable shares reported alongside job strain (shares overlap; they do not sum to 100%)</t>
  </si>
  <si>
    <t>Risk factor</t>
  </si>
  <si>
    <t>Attributable share</t>
  </si>
  <si>
    <t>Implied heart attacks / yr</t>
  </si>
  <si>
    <t>S4 (ISHN report of Lancet study)</t>
  </si>
  <si>
    <t>Physical inactivity — as reported by ISHN</t>
  </si>
  <si>
    <t>S4. Conflicts with TIME's figure below; sources differ.</t>
  </si>
  <si>
    <t>Physical inactivity — as reported by TIME</t>
  </si>
  <si>
    <t>S5. Conflicts with ISHN's figure above; sources differ.</t>
  </si>
  <si>
    <t>Job strain (base case)</t>
  </si>
  <si>
    <t>Linked to B9</t>
  </si>
  <si>
    <t>US Crash Deaths Linked to a Driver's Heart Condition — Scenario Estimates</t>
  </si>
  <si>
    <t>No official count exists. Everything below is illustrative scenario arithmetic, NOT published statistics. Yellow cells are assumptions you can change.</t>
  </si>
  <si>
    <t>ID</t>
  </si>
  <si>
    <t>I1</t>
  </si>
  <si>
    <t>US traffic deaths — 2024 (confirmed)</t>
  </si>
  <si>
    <t>S11</t>
  </si>
  <si>
    <t>NHTSA, as reported by Trucknews.</t>
  </si>
  <si>
    <t>I2</t>
  </si>
  <si>
    <t>US traffic deaths — 2025 (NHTSA projection)</t>
  </si>
  <si>
    <t>S11, S12</t>
  </si>
  <si>
    <t>Projection, not final; NHTSA is still finalizing 2025 data.</t>
  </si>
  <si>
    <t>I3</t>
  </si>
  <si>
    <t>Share of drivers in crashes precipitated by a medical emergency (any)</t>
  </si>
  <si>
    <t>S13</t>
  </si>
  <si>
    <t>NHTSA NMVCCS survey (light passenger vehicles). Share of drivers/crashes, not of deaths.</t>
  </si>
  <si>
    <t>I4</t>
  </si>
  <si>
    <t>…share of those that were seizures, blackouts or diabetic reactions</t>
  </si>
  <si>
    <t>NMVCCS.</t>
  </si>
  <si>
    <t>I5</t>
  </si>
  <si>
    <t>…remainder (cardiac events + all other causes) — UPPER BOUND for cardiac</t>
  </si>
  <si>
    <t>—</t>
  </si>
  <si>
    <t>Inference: cardiac events sit inside this remainder, but so do other causes. No cardiac-only share found.</t>
  </si>
  <si>
    <t>I6</t>
  </si>
  <si>
    <t>Incapacitating injury or death — medical-emergency crashes</t>
  </si>
  <si>
    <t>S23</t>
  </si>
  <si>
    <t>NHTSA 2009 study as summarized by Lievers.</t>
  </si>
  <si>
    <t>I7</t>
  </si>
  <si>
    <t>Incapacitating injury or death — other crashes</t>
  </si>
  <si>
    <t>Same source.</t>
  </si>
  <si>
    <t>I8</t>
  </si>
  <si>
    <t>Severity ratio (medical-emergency vs other crashes)</t>
  </si>
  <si>
    <t>Formula. Combines injury and death, so only a rough severity proxy.</t>
  </si>
  <si>
    <t>I9</t>
  </si>
  <si>
    <t>Probable cardiac arrest — % of driver deaths, Vaud (Switzerland)</t>
  </si>
  <si>
    <t>S15</t>
  </si>
  <si>
    <t>1986-89 data. Share of DRIVER deaths.</t>
  </si>
  <si>
    <t>I10</t>
  </si>
  <si>
    <t>Probable cardiac arrest — % of driver deaths, Finland</t>
  </si>
  <si>
    <t>1984-89 data. Share of DRIVER deaths.</t>
  </si>
  <si>
    <t>I11</t>
  </si>
  <si>
    <t>Sudden driver incapacity (all causes) — % of traffic deaths, Finland</t>
  </si>
  <si>
    <t>Not heart-specific.</t>
  </si>
  <si>
    <t>I12</t>
  </si>
  <si>
    <t>Sudden driver incapacity (all causes) — % of traffic deaths, Vaud</t>
  </si>
  <si>
    <t>I13</t>
  </si>
  <si>
    <t>Range of crashes from any acute medical illness — low end</t>
  </si>
  <si>
    <t>S14</t>
  </si>
  <si>
    <t>Review: estimates range from &lt;0.1% to 3% across studies.</t>
  </si>
  <si>
    <t>I14</t>
  </si>
  <si>
    <t>Range of crashes from any acute medical illness — high end</t>
  </si>
  <si>
    <t>Same review.</t>
  </si>
  <si>
    <t>Scenarios: estimated US crash deaths linked to a driver's heart condition</t>
  </si>
  <si>
    <t>Scenario &amp; method</t>
  </si>
  <si>
    <t>Share of traffic deaths applied</t>
  </si>
  <si>
    <t>Est. deaths — 2024 base</t>
  </si>
  <si>
    <t>Est. deaths — 2025 (proj.)</t>
  </si>
  <si>
    <t>Notes</t>
  </si>
  <si>
    <t>S1</t>
  </si>
  <si>
    <t>NHTSA-based: traffic deaths × medical-emergency share × non-seizure/diabetic remainder</t>
  </si>
  <si>
    <t>Low-end. Treats the 1.3% crash share as a death share and assumes the whole remainder is cardiac (an upper bound within this method).</t>
  </si>
  <si>
    <t>S1b</t>
  </si>
  <si>
    <t>S1 adjusted upward for the higher severity of medical-emergency crashes</t>
  </si>
  <si>
    <t>Medical-emergency crashes are more often severe or fatal, so their share of deaths is likely above their share of crashes. Rough adjustment.</t>
  </si>
  <si>
    <t>Switzerland (Vaud): probable cardiac arrest share</t>
  </si>
  <si>
    <t>Applies a share of DRIVER deaths to ALL traffic deaths (incl. passengers, pedestrians), so it likely overstates. Old, non-US data.</t>
  </si>
  <si>
    <t>S3</t>
  </si>
  <si>
    <t>Finland: probable cardiac arrest share</t>
  </si>
  <si>
    <t>Same denominator caveat as S2. Old, non-US data.</t>
  </si>
  <si>
    <t>Low (minimum of scenarios)</t>
  </si>
  <si>
    <t>High (maximum of scenarios)</t>
  </si>
  <si>
    <t>Midpoint (average of scenarios)</t>
  </si>
  <si>
    <t>Low as share of all US traffic deaths</t>
  </si>
  <si>
    <t>High as share of all US traffic deaths</t>
  </si>
  <si>
    <t>Read this as an order-of-magnitude range (roughly a hundred to under a thousand deaths a year), not a measurement. Scenarios differ in denominator, era and country.</t>
  </si>
  <si>
    <t>Context: deaths if the share applied were ALL medical causes (not heart-specific)</t>
  </si>
  <si>
    <t>Basis</t>
  </si>
  <si>
    <t>Share of traffic deaths</t>
  </si>
  <si>
    <t>Deaths — 2024 base</t>
  </si>
  <si>
    <t>Deaths — 2025 (proj.)</t>
  </si>
  <si>
    <t>NMVCCS: any driver medical emergency (crash share)</t>
  </si>
  <si>
    <t>Source S13</t>
  </si>
  <si>
    <t>Finland: sudden driver incapacity, all causes</t>
  </si>
  <si>
    <t>Source S15</t>
  </si>
  <si>
    <t>Vaud: sudden driver incapacity, all causes</t>
  </si>
  <si>
    <t>Low end of reported range (any acute medical illness)</t>
  </si>
  <si>
    <t>Source S14</t>
  </si>
  <si>
    <t>High end of reported range (any acute medical illness)</t>
  </si>
  <si>
    <t>Breakdown: Who Dies in Crashes Linked to Heart Conditions — Study Data</t>
  </si>
  <si>
    <t>Counts and shares from individual studies (different countries and eras; not additive). Blue = reported figure; black = calculated.</t>
  </si>
  <si>
    <t>Study</t>
  </si>
  <si>
    <t>Count / value</t>
  </si>
  <si>
    <t>Denominator</t>
  </si>
  <si>
    <t>Share</t>
  </si>
  <si>
    <t>Birmingham coroner, UK (1984-88)</t>
  </si>
  <si>
    <t>Natural deaths among motor-vehicle drivers (consecutive)</t>
  </si>
  <si>
    <t>Starting population.</t>
  </si>
  <si>
    <t>S16</t>
  </si>
  <si>
    <t>…caused by ischaemic heart disease</t>
  </si>
  <si>
    <t>Ischaemic heart disease was the dominant cause of natural driver deaths.</t>
  </si>
  <si>
    <t>…cardiac deaths with prior cardiac history</t>
  </si>
  <si>
    <t>Most had a known cardiac history.</t>
  </si>
  <si>
    <t>…cardiac deaths with reported chest pain beforehand</t>
  </si>
  <si>
    <t>Few had warning symptoms.</t>
  </si>
  <si>
    <t>Vehicles involved in collisions</t>
  </si>
  <si>
    <t>Abstract does not state the denominator.</t>
  </si>
  <si>
    <t>…collisions with properties</t>
  </si>
  <si>
    <t>Categories may overlap (per abstract).</t>
  </si>
  <si>
    <t>…collisions with other vehicles</t>
  </si>
  <si>
    <t>…collisions with pedestrians</t>
  </si>
  <si>
    <t>Case series, China (2015-2019)</t>
  </si>
  <si>
    <t>Sudden deaths from ischemic heart disease while driving</t>
  </si>
  <si>
    <t>Small case series.</t>
  </si>
  <si>
    <t>S17</t>
  </si>
  <si>
    <t>…with a history of hypertension</t>
  </si>
  <si>
    <t>…with previous myocardial infarction</t>
  </si>
  <si>
    <t>…with fatty liver</t>
  </si>
  <si>
    <t>Antecol &amp; Roberts, autopsy series (1990)</t>
  </si>
  <si>
    <t>Sudden natural deaths in the driver's seat</t>
  </si>
  <si>
    <t>Automobile, truck or bus drivers.</t>
  </si>
  <si>
    <t>S18</t>
  </si>
  <si>
    <t>…cardiac arrest while driving</t>
  </si>
  <si>
    <t>Most drivers stopped the vehicle without injury to themselves or others.</t>
  </si>
  <si>
    <t>…while sitting in a parked vehicle</t>
  </si>
  <si>
    <t>Sweden, Herner et al. (1959-63)</t>
  </si>
  <si>
    <t>Police-reported road accidents in one region</t>
  </si>
  <si>
    <t>S19</t>
  </si>
  <si>
    <t>…caused or probably caused by sudden illness of the driver</t>
  </si>
  <si>
    <t>About 1 in 1,000 accidents; illness mostly epilepsy or myocardial infarction.</t>
  </si>
  <si>
    <t>…drivers who died at the wheel from the illness</t>
  </si>
  <si>
    <t>Share of the 41 illness-caused accidents.</t>
  </si>
  <si>
    <t>…other persons killed in those accidents</t>
  </si>
  <si>
    <t>No other persons were killed.</t>
  </si>
  <si>
    <t>Finland &amp; Vaud, Switzerland (1984-89)</t>
  </si>
  <si>
    <t>Driver deaths from sudden incapacity per million inhabitants per year — Finland</t>
  </si>
  <si>
    <t>All acute illness, not heart-only.</t>
  </si>
  <si>
    <t>…Vaud</t>
  </si>
  <si>
    <t>Sudden incapacity — share of all traffic deaths, Finland</t>
  </si>
  <si>
    <t>Reported share.</t>
  </si>
  <si>
    <t>Sudden incapacity — share of all traffic deaths, Vaud</t>
  </si>
  <si>
    <t>Probable cardiac arrest — share of all drivers' deaths, Finland</t>
  </si>
  <si>
    <t>Probable cardiac arrest — share of all drivers' deaths, Vaud</t>
  </si>
  <si>
    <t>NHTSA NMVCCS (national, light vehicles)</t>
  </si>
  <si>
    <t>Drivers in crashes precipitated by a medical emergency, % of all drivers</t>
  </si>
  <si>
    <t>S13, S23</t>
  </si>
  <si>
    <t>…seizures, blackouts or diabetic reactions</t>
  </si>
  <si>
    <t>Share of medical-emergency drivers.</t>
  </si>
  <si>
    <t>Single-vehicle crashes — medical-emergency drivers</t>
  </si>
  <si>
    <t>Single-vehicle crashes — other drivers</t>
  </si>
  <si>
    <t>Sole occupant — medical-emergency drivers</t>
  </si>
  <si>
    <t>Sole occupant — other drivers</t>
  </si>
  <si>
    <t>High-speed crash study (AAAM)</t>
  </si>
  <si>
    <t>High-speed crashes studied</t>
  </si>
  <si>
    <t>Serious-injury crashes.</t>
  </si>
  <si>
    <t>S21</t>
  </si>
  <si>
    <t>…medical condition was the primary cause</t>
  </si>
  <si>
    <t>Study notes medical causes may be underreported in police reports.</t>
  </si>
  <si>
    <t>…medical condition possibly the cause</t>
  </si>
  <si>
    <t>Of the 12 medical-condition crashes: diabetes</t>
  </si>
  <si>
    <t>Denominator = 7 + 5 = 12 crashes.</t>
  </si>
  <si>
    <t>…epilepsy</t>
  </si>
  <si>
    <t>…heart attack</t>
  </si>
  <si>
    <t>Only one heart attack among the 12.</t>
  </si>
  <si>
    <t>…other conditions</t>
  </si>
  <si>
    <t>Deaths resulting from the 12 crashes</t>
  </si>
  <si>
    <t>South Australia hospital study (2014-17)</t>
  </si>
  <si>
    <t>Injured road users admitted to Royal Adelaide Hospital</t>
  </si>
  <si>
    <t>Hospital-admission sample; skews toward serious crashes.</t>
  </si>
  <si>
    <t>S22</t>
  </si>
  <si>
    <t>…admissions caused by a medical condition (count derived from reported %)</t>
  </si>
  <si>
    <t>Count = 1,934 × 9.2% (rounded). Most common: loss of consciousness, attempted suicide, seizures.</t>
  </si>
  <si>
    <t>Calculated: medical-emergency crashes vs. other crashes (NMVCCS rows above)</t>
  </si>
  <si>
    <t>Comparison</t>
  </si>
  <si>
    <t>Ratio</t>
  </si>
  <si>
    <t>What it means</t>
  </si>
  <si>
    <t>Single-vehicle crash: medical-emergency ÷ other</t>
  </si>
  <si>
    <t>Medical-emergency crashes are far more likely to be single-vehicle (often leaving the road).</t>
  </si>
  <si>
    <t>Sole occupant: medical-emergency ÷ other</t>
  </si>
  <si>
    <t>Drivers in medical-emergency crashes are more often alone in the car.</t>
  </si>
  <si>
    <t>Incapacitating injury or death: medical-emergency ÷ other</t>
  </si>
  <si>
    <t>Medical-emergency crashes are more likely to end in severe injury or death.</t>
  </si>
  <si>
    <t>Typical profile (qualitative, from the studies above)</t>
  </si>
  <si>
    <t>Finnish accident investigations (S20)</t>
  </si>
  <si>
    <t>Victim almost always a man in his 60s with a diagnosed illness or preceding chest-pain symptoms; one third had heart pain in the week before; cause almost always coronary thrombosis; sudden death from illness was under 4% of fatal driving-off-the-road accidents.</t>
  </si>
  <si>
    <t>NHTSA NMVCCS (S13)</t>
  </si>
  <si>
    <t>Drivers aged 65+ and male drivers were over-represented among medical-emergency crashes (per slide summary of the study).</t>
  </si>
  <si>
    <t>Antecol &amp; Roberts (S18)</t>
  </si>
  <si>
    <t>Coronary findings in drivers who died suddenly at the wheel resembled other out-of-hospital sudden coronary deaths (age, sex, heart weight, artery narrowing).</t>
  </si>
  <si>
    <t>Birmingham coroner (S16)</t>
  </si>
  <si>
    <t>See rows above: most cardiac deaths had a known cardiac history, so higher-risk drivers are an identifiable group.</t>
  </si>
  <si>
    <t>Sources, Data Quality &amp; Limitations</t>
  </si>
  <si>
    <t>IDs (S1, S2, …) are referenced throughout the workbook. Retrieved October 2026.</t>
  </si>
  <si>
    <t>Source</t>
  </si>
  <si>
    <t>Used for</t>
  </si>
  <si>
    <t>URL</t>
  </si>
  <si>
    <t>Quality note</t>
  </si>
  <si>
    <t>CDC/NCHS FastStats — Deaths and Mortality / Leading Causes of Death (2024)</t>
  </si>
  <si>
    <t>Leading causes of death, total deaths</t>
  </si>
  <si>
    <t>Primary (agency)</t>
  </si>
  <si>
    <t>https://www.cdc.gov/nchs/FASTATS/deaths.htm</t>
  </si>
  <si>
    <t>Authoritative. Cause-of-death rankings are by count, not adjusted for age.</t>
  </si>
  <si>
    <t>CDC — Heart Disease Facts</t>
  </si>
  <si>
    <t>US heart attacks per year (805,000)</t>
  </si>
  <si>
    <t>https://www.cdc.gov/heart-disease/data-research/facts-stats/index.html</t>
  </si>
  <si>
    <t>Authoritative.</t>
  </si>
  <si>
    <t>SafetyNow — Heart Attack Stats &amp; Facts (summarizing CDC)</t>
  </si>
  <si>
    <t>Heart attack case fatality (~12%)</t>
  </si>
  <si>
    <t>Secondary summary</t>
  </si>
  <si>
    <t>https://ilt.safetynow.com/heart-attacks-stats-facts/</t>
  </si>
  <si>
    <t>Secondary; also quotes older CDC totals. Verify against CDC.</t>
  </si>
  <si>
    <t>S4</t>
  </si>
  <si>
    <t>ISHN — Stressful jobs increase heart attack risk (Lancet, Kivimäki)</t>
  </si>
  <si>
    <t>Job-strain RR and attributable share; smoking share</t>
  </si>
  <si>
    <t>https://ishn.com/articles/94124-stressful-jobs-increase-heart-attack-risk</t>
  </si>
  <si>
    <t>Not the original paper. Inactivity share differs from S5.</t>
  </si>
  <si>
    <t>S5</t>
  </si>
  <si>
    <t>TIME Healthland — Work stress linked to more heart attacks</t>
  </si>
  <si>
    <t>Job-strain RR; association vs causation caveat; inactivity share</t>
  </si>
  <si>
    <t>https://healthland.time.com/?p=68985</t>
  </si>
  <si>
    <t>Not the original paper.</t>
  </si>
  <si>
    <t>ETUI — Psychosocial risk factors and acute MI (INTERHEART, Lancet 2004)</t>
  </si>
  <si>
    <t>INTERHEART stress, depression, smoking RR</t>
  </si>
  <si>
    <t>Summary of study</t>
  </si>
  <si>
    <t>https://hesa.etui-rehs.org/uk/newsevents/newsfiche.asp?pk=201</t>
  </si>
  <si>
    <t>Trade-union institute summary of a peer-reviewed study.</t>
  </si>
  <si>
    <t>Fox News — High-pressure deadlines up sudden heart attack risk (SHEEP)</t>
  </si>
  <si>
    <t>6× risk within 24 h of sudden job stress</t>
  </si>
  <si>
    <t>https://www.foxnews.com/story/high-pressure-deadlines-up-sudden-heart-attack-risk.amp</t>
  </si>
  <si>
    <t>S8</t>
  </si>
  <si>
    <t>NewsOne — Katrina stress may still be causing heart attacks</t>
  </si>
  <si>
    <t>Tulane admissions before/after Katrina</t>
  </si>
  <si>
    <t>https://newsone.com/142141/katrina-stress-may-still-be-causing-heart-attacks/</t>
  </si>
  <si>
    <t>Single hospital; catchment changed.</t>
  </si>
  <si>
    <t>Daily Herald — 9/11 stress and heart problems (Holman et al.)</t>
  </si>
  <si>
    <t>+53% cardiovascular ailments</t>
  </si>
  <si>
    <t>https://www.dailyherald.com/?p=1064482</t>
  </si>
  <si>
    <t>Self-reported diagnoses.</t>
  </si>
  <si>
    <t>WRTV — The holidays bring a spike in heart attacks</t>
  </si>
  <si>
    <t>+4.2% heart-related deaths Dec 25 – Jan 7</t>
  </si>
  <si>
    <t>https://wrtv.com/news/national/the-holidays-bring-a-spike-in-heart-attacks-heres-why</t>
  </si>
  <si>
    <t>Stress is one hypothesized explanation.</t>
  </si>
  <si>
    <t>Trucknews — US traffic deaths decline again in 2025 (NHTSA)</t>
  </si>
  <si>
    <t>2024 confirmed and 2025 projected traffic deaths</t>
  </si>
  <si>
    <t>News report of agency data</t>
  </si>
  <si>
    <t>https://www.trucknews.com/transportation/us-traffic-deaths-decline-again-in-2025/1003212143</t>
  </si>
  <si>
    <t>2025 is a projection.</t>
  </si>
  <si>
    <t>S12</t>
  </si>
  <si>
    <t>NHTSA — Early Estimates by Sub-Categories in 2025 (TRID record)</t>
  </si>
  <si>
    <t>2025 estimate cross-check</t>
  </si>
  <si>
    <t>https://trid.trb.org/View/2724806</t>
  </si>
  <si>
    <t>Confirms 36,640 and 39,254.</t>
  </si>
  <si>
    <t>NHTSA — Contribution of Medical Conditions to Passenger Vehicle Crashes (NMVCCS), via SWOV</t>
  </si>
  <si>
    <t>Medical-emergency crash share and characteristics</t>
  </si>
  <si>
    <t>Primary (agency) abstract</t>
  </si>
  <si>
    <t>https://swov.nl/nl/publicatie/contribution-medical-conditions-passenger-vehicle-crashes</t>
  </si>
  <si>
    <t>Older survey; limited to light vehicles, 6 a.m.–midnight.</t>
  </si>
  <si>
    <t>Sensors 2019 — review of driver health monitoring</t>
  </si>
  <si>
    <t>Range of crashes from acute medical illness (&lt;0.1%–3%)</t>
  </si>
  <si>
    <t>Peer-reviewed review</t>
  </si>
  <si>
    <t>https://doi.org/10.3390/s19122780</t>
  </si>
  <si>
    <t>Review; ranges vary widely by study.</t>
  </si>
  <si>
    <t>Eur Heart J 1994 — Fatal road accidents caused by sudden death of the driver, Finland &amp; Vaud</t>
  </si>
  <si>
    <t>Sudden incapacity and cardiac arrest shares</t>
  </si>
  <si>
    <t>Peer-reviewed abstract</t>
  </si>
  <si>
    <t>https://pubmed.ncbi.nlm.nih.gov/7925508</t>
  </si>
  <si>
    <t>1980s data, non-US.</t>
  </si>
  <si>
    <t>Cheng &amp; Whittington, J Med Ethics — Natural deaths while driving (Birmingham)</t>
  </si>
  <si>
    <t>93% of natural driver deaths from IHD</t>
  </si>
  <si>
    <t>https://jme.bmj.com/content/24/4/248</t>
  </si>
  <si>
    <t>Single coroner district, 1984-88.</t>
  </si>
  <si>
    <t>Med Sci Monit — Sudden death from IHD while driving (China)</t>
  </si>
  <si>
    <t>21-case series</t>
  </si>
  <si>
    <t>Peer-reviewed</t>
  </si>
  <si>
    <t>https://pmc.ncbi.nlm.nih.gov/articles/PMC7847085/</t>
  </si>
  <si>
    <t>Small series.</t>
  </si>
  <si>
    <t>Antecol &amp; Roberts, Am J Cardiol 1990 — via SWOV</t>
  </si>
  <si>
    <t>Autopsy series of drivers</t>
  </si>
  <si>
    <t>https://swov.nl/en/publicatie/sudden-death-behind-wheel-natural-disease-drivers-four-wheeled-motorized-vehicles</t>
  </si>
  <si>
    <t>Small series, 1990.</t>
  </si>
  <si>
    <t>Herner et al., Br J Ind Med 1966 — Sudden illness as a cause of motor-vehicle accidents</t>
  </si>
  <si>
    <t>Swedish regional accident data</t>
  </si>
  <si>
    <t>https://pmc.ncbi.nlm.nih.gov/articles/PMC1008346</t>
  </si>
  <si>
    <t>1959-63 data.</t>
  </si>
  <si>
    <t>S20</t>
  </si>
  <si>
    <t>Nuutila 1983 — A natural death while driving (Finland), TRID record</t>
  </si>
  <si>
    <t>Typical victim profile</t>
  </si>
  <si>
    <t>Abstract</t>
  </si>
  <si>
    <t>https://trid.trb.org/View/203517</t>
  </si>
  <si>
    <t>1970-75 data.</t>
  </si>
  <si>
    <t>AAAM — Role of medical conditions in high-speed crashes (TRID record)</t>
  </si>
  <si>
    <t>124 high-speed crashes</t>
  </si>
  <si>
    <t>Conference abstract</t>
  </si>
  <si>
    <t>https://trid.trb.org/View/458281</t>
  </si>
  <si>
    <t>Small sample.</t>
  </si>
  <si>
    <t>CASR Adelaide — Characteristics of crashes involving medical conditions (2023)</t>
  </si>
  <si>
    <t>9.2% of admissions</t>
  </si>
  <si>
    <t>https://casr.adelaide.edu.au/publications/list?id=2059</t>
  </si>
  <si>
    <t>Hospital-admission sample.</t>
  </si>
  <si>
    <t>Lievers — driver health monitoring paper summarizing NHTSA 2009 study</t>
  </si>
  <si>
    <t>28% vs 11% severity comparison</t>
  </si>
  <si>
    <t>https://wbldb.lievers.net/10139626.html</t>
  </si>
  <si>
    <t>Secondary; verify against NHTSA.</t>
  </si>
  <si>
    <t>Key limitations</t>
  </si>
  <si>
    <t>1. No official statistic attributes deaths to 'stress'. Stress figures are relative risks and attributable fractions from observational studies — association, not proven causation.</t>
  </si>
  <si>
    <t>2. No official US count of crash deaths caused by a driver's heart condition exists. 'Crash Estimates' is illustrative scenario arithmetic with a deliberately wide range.</t>
  </si>
  <si>
    <t>3. Several crash studies are decades old, small, or non-US. Treat them as indicators of order of magnitude, not current US rates.</t>
  </si>
  <si>
    <t>4. Several stress figures come from news reports of studies (see 'Source type'). Verify against the original papers before citing in formal work.</t>
  </si>
  <si>
    <t>5. Medical causes of crashes are likely under-reported in police data (S21), so true counts may be higher.</t>
  </si>
  <si>
    <t>6. This worksheet is for research and learning, not medical, legal or safety-engineering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</si>
</sst>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x"/>
    <numFmt numFmtId="166" formatCode="0.00\x"/>
    <numFmt numFmtId="167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  <fill>
      <patternFill patternType="solid">
        <fgColor rgb="FFFDE9E7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/>
    </xf>
    <xf numFmtId="3" fontId="4" fillId="5" borderId="1" xfId="0" applyNumberFormat="1" applyFont="1" applyFill="1" applyBorder="1" applyAlignment="1">
      <alignment vertical="top"/>
    </xf>
    <xf numFmtId="164" fontId="5" fillId="5" borderId="1" xfId="0" applyNumberFormat="1" applyFont="1" applyFill="1" applyBorder="1" applyAlignment="1">
      <alignment vertical="top"/>
    </xf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3" fontId="8" fillId="0" borderId="1" xfId="0" applyNumberFormat="1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66" fontId="4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10" fontId="5" fillId="0" borderId="1" xfId="0" applyNumberFormat="1" applyFont="1" applyBorder="1" applyAlignment="1">
      <alignment vertical="top"/>
    </xf>
    <xf numFmtId="166" fontId="3" fillId="0" borderId="1" xfId="0" applyNumberFormat="1" applyFont="1" applyBorder="1" applyAlignment="1">
      <alignment vertical="top"/>
    </xf>
    <xf numFmtId="166" fontId="5" fillId="0" borderId="1" xfId="0" applyNumberFormat="1" applyFont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vertical="top"/>
    </xf>
    <xf numFmtId="167" fontId="4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deaths by leading cause,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'Leading Causes'!$C$4</c:f>
              <c:strCache>
                <c:ptCount val="1"/>
                <c:pt idx="0">
                  <c:v>Deaths (2024)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'Leading Causes'!$B$5:$B$14</c:f>
              <c:strCache>
                <c:ptCount val="10"/>
                <c:pt idx="0">
                  <c:v>Heart disease</c:v>
                </c:pt>
                <c:pt idx="1">
                  <c:v>Cancer</c:v>
                </c:pt>
                <c:pt idx="2">
                  <c:v>Accidents (unintentional injuries)</c:v>
                </c:pt>
                <c:pt idx="3">
                  <c:v>Stroke (cerebrovascular diseases)</c:v>
                </c:pt>
                <c:pt idx="4">
                  <c:v>Chronic lower respiratory diseases</c:v>
                </c:pt>
                <c:pt idx="5">
                  <c:v>Alzheimer's disease</c:v>
                </c:pt>
                <c:pt idx="6">
                  <c:v>Diabetes</c:v>
                </c:pt>
                <c:pt idx="7">
                  <c:v>Nephritis, nephrotic syndrome, nephrosis</c:v>
                </c:pt>
                <c:pt idx="8">
                  <c:v>Chronic liver disease and cirrhosis</c:v>
                </c:pt>
                <c:pt idx="9">
                  <c:v>Suicide</c:v>
                </c:pt>
              </c:strCache>
            </c:strRef>
          </c:cat>
          <c:val>
            <c:numRef>
              <c:f>'Leading Causes'!$C$5:$C$14</c:f>
              <c:numCache>
                <c:formatCode>#,##0</c:formatCode>
                <c:ptCount val="10"/>
                <c:pt idx="0">
                  <c:v>683491</c:v>
                </c:pt>
                <c:pt idx="1">
                  <c:v>619876</c:v>
                </c:pt>
                <c:pt idx="2">
                  <c:v>197449</c:v>
                </c:pt>
                <c:pt idx="3">
                  <c:v>166852</c:v>
                </c:pt>
                <c:pt idx="4">
                  <c:v>145643</c:v>
                </c:pt>
                <c:pt idx="5">
                  <c:v>116022</c:v>
                </c:pt>
                <c:pt idx="6">
                  <c:v>94445</c:v>
                </c:pt>
                <c:pt idx="7">
                  <c:v>55081</c:v>
                </c:pt>
                <c:pt idx="8">
                  <c:v>52274</c:v>
                </c:pt>
                <c:pt idx="9">
                  <c:v>48824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5-4A32-AF16-DEEB3DB83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64923"/>
        <c:axId val="36957612"/>
      </c:barChart>
      <c:catAx>
        <c:axId val="153649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57612"/>
        <c:crosses val="autoZero"/>
        <c:auto val="1"/>
        <c:lblAlgn val="ctr"/>
        <c:lblOffset val="100"/>
        <c:noMultiLvlLbl val="0"/>
      </c:catAx>
      <c:valAx>
        <c:axId val="36957612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64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Relative risk of heart attack (× vs. unexposed)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'Stress Evidence'!$C$22</c:f>
              <c:strCache>
                <c:ptCount val="1"/>
                <c:pt idx="0">
                  <c:v>Relative risk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'Stress Evidence'!$B$23:$B$27</c:f>
              <c:strCache>
                <c:ptCount val="5"/>
                <c:pt idx="0">
                  <c:v>Job strain</c:v>
                </c:pt>
                <c:pt idx="1">
                  <c:v>INTERHEART: severe stress</c:v>
                </c:pt>
                <c:pt idx="2">
                  <c:v>INTERHEART: stress + depression</c:v>
                </c:pt>
                <c:pt idx="3">
                  <c:v>INTERHEART: smoking (≈)</c:v>
                </c:pt>
                <c:pt idx="4">
                  <c:v>SHEEP: sudden job stress (24 h)</c:v>
                </c:pt>
              </c:strCache>
            </c:strRef>
          </c:cat>
          <c:val>
            <c:numRef>
              <c:f>'Stress Evidence'!$C$23:$C$27</c:f>
              <c:numCache>
                <c:formatCode>0.00\x</c:formatCode>
                <c:ptCount val="5"/>
                <c:pt idx="0">
                  <c:v>1.23</c:v>
                </c:pt>
                <c:pt idx="1">
                  <c:v>2.5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4-4233-BD4E-5300F1672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33258"/>
        <c:axId val="52731424"/>
      </c:barChart>
      <c:catAx>
        <c:axId val="47033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31424"/>
        <c:crosses val="autoZero"/>
        <c:auto val="1"/>
        <c:lblAlgn val="ctr"/>
        <c:lblOffset val="100"/>
        <c:noMultiLvlLbl val="0"/>
      </c:catAx>
      <c:valAx>
        <c:axId val="52731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33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Estimated heart-related crash deaths per year (2024 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'Crash Estimates'!$D$21</c:f>
              <c:strCache>
                <c:ptCount val="1"/>
                <c:pt idx="0">
                  <c:v>Est. deaths — 2024 base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'Crash Estimates'!$A$22:$A$25</c:f>
              <c:strCache>
                <c:ptCount val="4"/>
                <c:pt idx="0">
                  <c:v>S1</c:v>
                </c:pt>
                <c:pt idx="1">
                  <c:v>S1b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'Crash Estimates'!$D$22:$D$25</c:f>
              <c:numCache>
                <c:formatCode>#,##0</c:formatCode>
                <c:ptCount val="4"/>
                <c:pt idx="0">
                  <c:v>81.648320000000012</c:v>
                </c:pt>
                <c:pt idx="1">
                  <c:v>207.83208727272734</c:v>
                </c:pt>
                <c:pt idx="2">
                  <c:v>667.3180000000001</c:v>
                </c:pt>
                <c:pt idx="3">
                  <c:v>824.33400000000006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6-4721-9989-9250D1091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17103"/>
        <c:axId val="23126128"/>
      </c:barChart>
      <c:catAx>
        <c:axId val="7731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26128"/>
        <c:crosses val="autoZero"/>
        <c:auto val="1"/>
        <c:lblAlgn val="ctr"/>
        <c:lblOffset val="100"/>
        <c:noMultiLvlLbl val="0"/>
      </c:catAx>
      <c:valAx>
        <c:axId val="23126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317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92160</xdr:rowOff>
    </xdr:from>
    <xdr:to>
      <xdr:col>5</xdr:col>
      <xdr:colOff>417960</xdr:colOff>
      <xdr:row>41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23760</xdr:rowOff>
    </xdr:from>
    <xdr:to>
      <xdr:col>8</xdr:col>
      <xdr:colOff>221400</xdr:colOff>
      <xdr:row>29</xdr:row>
      <xdr:rowOff>26640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169920</xdr:rowOff>
    </xdr:from>
    <xdr:to>
      <xdr:col>2</xdr:col>
      <xdr:colOff>1107360</xdr:colOff>
      <xdr:row>54</xdr:row>
      <xdr:rowOff>1800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A1:C38"/>
  <sheetViews>
    <sheetView showGridLines="0" topLeftCell="A22" zoomScaleNormal="100" workbookViewId="0"/>
  </sheetViews>
  <sheetFormatPr defaultColWidth="8.7109375" defaultRowHeight="15" x14ac:dyDescent="0.25"/>
  <cols>
    <col min="1" max="1" width="109.140625" customWidth="1"/>
    <col min="2" max="2" width="20" customWidth="1"/>
    <col min="3" max="3" width="44" customWidth="1"/>
  </cols>
  <sheetData>
    <row r="1" spans="1:3" ht="18" x14ac:dyDescent="0.25">
      <c r="A1" s="5" t="s">
        <v>0</v>
      </c>
    </row>
    <row r="2" spans="1:3" x14ac:dyDescent="0.25">
      <c r="A2" s="6" t="s">
        <v>1</v>
      </c>
    </row>
    <row r="4" spans="1:3" x14ac:dyDescent="0.25">
      <c r="A4" s="7" t="s">
        <v>2</v>
      </c>
      <c r="B4" s="8"/>
      <c r="C4" s="8"/>
    </row>
    <row r="5" spans="1:3" x14ac:dyDescent="0.25">
      <c r="A5" s="9" t="s">
        <v>3</v>
      </c>
    </row>
    <row r="6" spans="1:3" x14ac:dyDescent="0.25">
      <c r="A6" s="10" t="s">
        <v>4</v>
      </c>
    </row>
    <row r="7" spans="1:3" x14ac:dyDescent="0.25">
      <c r="A7" s="11" t="s">
        <v>5</v>
      </c>
    </row>
    <row r="8" spans="1:3" x14ac:dyDescent="0.25">
      <c r="A8" s="12" t="s">
        <v>6</v>
      </c>
    </row>
    <row r="10" spans="1:3" x14ac:dyDescent="0.25">
      <c r="A10" s="7" t="s">
        <v>7</v>
      </c>
      <c r="B10" s="8"/>
      <c r="C10" s="8"/>
    </row>
    <row r="11" spans="1:3" ht="31.5" customHeight="1" x14ac:dyDescent="0.25">
      <c r="A11" s="13" t="s">
        <v>8</v>
      </c>
      <c r="B11" s="13" t="s">
        <v>9</v>
      </c>
      <c r="C11" s="13" t="s">
        <v>10</v>
      </c>
    </row>
    <row r="12" spans="1:3" x14ac:dyDescent="0.25">
      <c r="A12" s="14" t="s">
        <v>11</v>
      </c>
      <c r="B12" s="15">
        <f>'Leading Causes'!C5</f>
        <v>683491</v>
      </c>
      <c r="C12" s="14" t="s">
        <v>12</v>
      </c>
    </row>
    <row r="13" spans="1:3" x14ac:dyDescent="0.25">
      <c r="A13" s="14" t="s">
        <v>13</v>
      </c>
      <c r="B13" s="16">
        <f>'Leading Causes'!D5</f>
        <v>0.22244233509271752</v>
      </c>
      <c r="C13" s="14" t="s">
        <v>12</v>
      </c>
    </row>
    <row r="14" spans="1:3" x14ac:dyDescent="0.25">
      <c r="A14" s="14" t="s">
        <v>14</v>
      </c>
      <c r="B14" s="16">
        <f>'Leading Causes'!D18</f>
        <v>0.27674436466573327</v>
      </c>
      <c r="C14" s="14" t="s">
        <v>12</v>
      </c>
    </row>
    <row r="15" spans="1:3" x14ac:dyDescent="0.25">
      <c r="A15" s="14" t="s">
        <v>15</v>
      </c>
      <c r="B15" s="15">
        <f>'Attribution Calc'!B5</f>
        <v>805000</v>
      </c>
      <c r="C15" s="14" t="s">
        <v>16</v>
      </c>
    </row>
    <row r="16" spans="1:3" x14ac:dyDescent="0.25">
      <c r="A16" s="14" t="s">
        <v>17</v>
      </c>
      <c r="B16" s="15">
        <f>'Attribution Calc'!B12</f>
        <v>27370.000000000004</v>
      </c>
      <c r="C16" s="14" t="s">
        <v>18</v>
      </c>
    </row>
    <row r="17" spans="1:3" x14ac:dyDescent="0.25">
      <c r="A17" s="14" t="s">
        <v>19</v>
      </c>
      <c r="B17" s="15">
        <f>'Attribution Calc'!B13</f>
        <v>3284.4</v>
      </c>
      <c r="C17" s="14" t="s">
        <v>16</v>
      </c>
    </row>
    <row r="18" spans="1:3" x14ac:dyDescent="0.25">
      <c r="A18" s="14" t="s">
        <v>20</v>
      </c>
      <c r="B18" s="15">
        <f>'Crash Estimates'!C5</f>
        <v>39254</v>
      </c>
      <c r="C18" s="14" t="s">
        <v>21</v>
      </c>
    </row>
    <row r="19" spans="1:3" x14ac:dyDescent="0.25">
      <c r="A19" s="14" t="s">
        <v>22</v>
      </c>
      <c r="B19" s="16">
        <f>'Crash Estimates'!C7</f>
        <v>1.2999999999999999E-2</v>
      </c>
      <c r="C19" s="14" t="s">
        <v>21</v>
      </c>
    </row>
    <row r="20" spans="1:3" x14ac:dyDescent="0.25">
      <c r="A20" s="14" t="s">
        <v>23</v>
      </c>
      <c r="B20" s="15">
        <f>'Crash Estimates'!D27</f>
        <v>81.648320000000012</v>
      </c>
      <c r="C20" s="14" t="s">
        <v>21</v>
      </c>
    </row>
    <row r="21" spans="1:3" x14ac:dyDescent="0.25">
      <c r="A21" s="14" t="s">
        <v>24</v>
      </c>
      <c r="B21" s="15">
        <f>'Crash Estimates'!D28</f>
        <v>824.33400000000006</v>
      </c>
      <c r="C21" s="14" t="s">
        <v>21</v>
      </c>
    </row>
    <row r="22" spans="1:3" x14ac:dyDescent="0.25">
      <c r="A22" s="14" t="s">
        <v>25</v>
      </c>
      <c r="B22" s="15">
        <f>'Crash Estimates'!D29</f>
        <v>445.28310181818188</v>
      </c>
      <c r="C22" s="14" t="s">
        <v>21</v>
      </c>
    </row>
    <row r="24" spans="1:3" x14ac:dyDescent="0.25">
      <c r="A24" s="7" t="s">
        <v>26</v>
      </c>
      <c r="B24" s="8"/>
      <c r="C24" s="8"/>
    </row>
    <row r="25" spans="1:3" ht="42" customHeight="1" x14ac:dyDescent="0.25">
      <c r="A25" s="4" t="s">
        <v>27</v>
      </c>
      <c r="B25" s="4"/>
      <c r="C25" s="4"/>
    </row>
    <row r="26" spans="1:3" ht="42" customHeight="1" x14ac:dyDescent="0.25">
      <c r="A26" s="4" t="s">
        <v>28</v>
      </c>
      <c r="B26" s="4"/>
      <c r="C26" s="4"/>
    </row>
    <row r="27" spans="1:3" ht="42" customHeight="1" x14ac:dyDescent="0.25">
      <c r="A27" s="4" t="s">
        <v>29</v>
      </c>
      <c r="B27" s="4"/>
      <c r="C27" s="4"/>
    </row>
    <row r="28" spans="1:3" ht="42" customHeight="1" x14ac:dyDescent="0.25">
      <c r="A28" s="4" t="s">
        <v>30</v>
      </c>
      <c r="B28" s="4"/>
      <c r="C28" s="4"/>
    </row>
    <row r="29" spans="1:3" ht="42" customHeight="1" x14ac:dyDescent="0.25">
      <c r="A29" s="4" t="s">
        <v>31</v>
      </c>
      <c r="B29" s="4"/>
      <c r="C29" s="4"/>
    </row>
    <row r="30" spans="1:3" ht="42" customHeight="1" x14ac:dyDescent="0.25">
      <c r="A30" s="4" t="s">
        <v>32</v>
      </c>
      <c r="B30" s="4"/>
      <c r="C30" s="4"/>
    </row>
    <row r="32" spans="1:3" x14ac:dyDescent="0.25">
      <c r="A32" s="7" t="s">
        <v>33</v>
      </c>
      <c r="B32" s="8"/>
      <c r="C32" s="8"/>
    </row>
    <row r="33" spans="1:3" ht="15" customHeight="1" x14ac:dyDescent="0.25">
      <c r="A33" s="17" t="s">
        <v>12</v>
      </c>
      <c r="B33" s="3" t="s">
        <v>34</v>
      </c>
      <c r="C33" s="3"/>
    </row>
    <row r="34" spans="1:3" ht="15" customHeight="1" x14ac:dyDescent="0.25">
      <c r="A34" s="17" t="s">
        <v>35</v>
      </c>
      <c r="B34" s="3" t="s">
        <v>36</v>
      </c>
      <c r="C34" s="3"/>
    </row>
    <row r="35" spans="1:3" ht="15" customHeight="1" x14ac:dyDescent="0.25">
      <c r="A35" s="17" t="s">
        <v>16</v>
      </c>
      <c r="B35" s="3" t="s">
        <v>37</v>
      </c>
      <c r="C35" s="3"/>
    </row>
    <row r="36" spans="1:3" ht="15" customHeight="1" x14ac:dyDescent="0.25">
      <c r="A36" s="17" t="s">
        <v>21</v>
      </c>
      <c r="B36" s="3" t="s">
        <v>38</v>
      </c>
      <c r="C36" s="3"/>
    </row>
    <row r="37" spans="1:3" ht="15" customHeight="1" x14ac:dyDescent="0.25">
      <c r="A37" s="17" t="s">
        <v>39</v>
      </c>
      <c r="B37" s="3" t="s">
        <v>40</v>
      </c>
      <c r="C37" s="3"/>
    </row>
    <row r="38" spans="1:3" ht="15" customHeight="1" x14ac:dyDescent="0.25">
      <c r="A38" s="17" t="s">
        <v>41</v>
      </c>
      <c r="B38" s="3" t="s">
        <v>42</v>
      </c>
      <c r="C38" s="3"/>
    </row>
  </sheetData>
  <mergeCells count="12">
    <mergeCell ref="B37:C37"/>
    <mergeCell ref="B38:C38"/>
    <mergeCell ref="A30:C30"/>
    <mergeCell ref="B33:C33"/>
    <mergeCell ref="B34:C34"/>
    <mergeCell ref="B35:C35"/>
    <mergeCell ref="B36:C36"/>
    <mergeCell ref="A25:C25"/>
    <mergeCell ref="A26:C26"/>
    <mergeCell ref="A27:C27"/>
    <mergeCell ref="A28:C28"/>
    <mergeCell ref="A29:C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95.28515625" customWidth="1"/>
    <col min="2" max="2" width="40" customWidth="1"/>
    <col min="3" max="3" width="16" customWidth="1"/>
    <col min="4" max="4" width="14" customWidth="1"/>
    <col min="5" max="5" width="16" customWidth="1"/>
    <col min="6" max="6" width="78" customWidth="1"/>
  </cols>
  <sheetData>
    <row r="1" spans="1:6" ht="18" x14ac:dyDescent="0.25">
      <c r="A1" s="5" t="s">
        <v>43</v>
      </c>
    </row>
    <row r="2" spans="1:6" x14ac:dyDescent="0.25">
      <c r="A2" s="6" t="s">
        <v>44</v>
      </c>
    </row>
    <row r="4" spans="1:6" ht="31.5" customHeight="1" x14ac:dyDescent="0.25">
      <c r="A4" s="13" t="s">
        <v>45</v>
      </c>
      <c r="B4" s="13" t="s">
        <v>46</v>
      </c>
      <c r="C4" s="13" t="s">
        <v>47</v>
      </c>
      <c r="D4" s="13" t="s">
        <v>48</v>
      </c>
      <c r="E4" s="13" t="s">
        <v>49</v>
      </c>
      <c r="F4" s="13" t="s">
        <v>50</v>
      </c>
    </row>
    <row r="5" spans="1:6" ht="25.5" x14ac:dyDescent="0.25">
      <c r="A5" s="18">
        <f t="shared" ref="A5:A14" si="0">RANK(C5,$C$5:$C$14)</f>
        <v>1</v>
      </c>
      <c r="B5" s="19" t="s">
        <v>51</v>
      </c>
      <c r="C5" s="20">
        <v>683491</v>
      </c>
      <c r="D5" s="21">
        <f t="shared" ref="D5:D14" si="1">C5/$C$16</f>
        <v>0.22244233509271752</v>
      </c>
      <c r="E5" s="18" t="s">
        <v>52</v>
      </c>
      <c r="F5" s="22" t="s">
        <v>53</v>
      </c>
    </row>
    <row r="6" spans="1:6" x14ac:dyDescent="0.25">
      <c r="A6" s="23">
        <f t="shared" si="0"/>
        <v>2</v>
      </c>
      <c r="B6" s="24" t="s">
        <v>54</v>
      </c>
      <c r="C6" s="25">
        <v>619876</v>
      </c>
      <c r="D6" s="26">
        <f t="shared" si="1"/>
        <v>0.20173881573851501</v>
      </c>
      <c r="E6" s="23" t="s">
        <v>55</v>
      </c>
      <c r="F6" s="14" t="s">
        <v>56</v>
      </c>
    </row>
    <row r="7" spans="1:6" ht="25.5" x14ac:dyDescent="0.25">
      <c r="A7" s="23">
        <f t="shared" si="0"/>
        <v>3</v>
      </c>
      <c r="B7" s="24" t="s">
        <v>57</v>
      </c>
      <c r="C7" s="25">
        <v>197449</v>
      </c>
      <c r="D7" s="26">
        <f t="shared" si="1"/>
        <v>6.4259831690134883E-2</v>
      </c>
      <c r="E7" s="23" t="s">
        <v>55</v>
      </c>
      <c r="F7" s="14" t="s">
        <v>58</v>
      </c>
    </row>
    <row r="8" spans="1:6" ht="25.5" x14ac:dyDescent="0.25">
      <c r="A8" s="23">
        <f t="shared" si="0"/>
        <v>4</v>
      </c>
      <c r="B8" s="24" t="s">
        <v>59</v>
      </c>
      <c r="C8" s="25">
        <v>166852</v>
      </c>
      <c r="D8" s="26">
        <f t="shared" si="1"/>
        <v>5.4302029573015748E-2</v>
      </c>
      <c r="E8" s="23" t="s">
        <v>52</v>
      </c>
      <c r="F8" s="14" t="s">
        <v>60</v>
      </c>
    </row>
    <row r="9" spans="1:6" x14ac:dyDescent="0.25">
      <c r="A9" s="23">
        <f t="shared" si="0"/>
        <v>5</v>
      </c>
      <c r="B9" s="24" t="s">
        <v>61</v>
      </c>
      <c r="C9" s="25">
        <v>145643</v>
      </c>
      <c r="D9" s="26">
        <f t="shared" si="1"/>
        <v>4.7399554653841325E-2</v>
      </c>
      <c r="E9" s="23" t="s">
        <v>55</v>
      </c>
      <c r="F9" s="14" t="s">
        <v>56</v>
      </c>
    </row>
    <row r="10" spans="1:6" x14ac:dyDescent="0.25">
      <c r="A10" s="23">
        <f t="shared" si="0"/>
        <v>6</v>
      </c>
      <c r="B10" s="24" t="s">
        <v>62</v>
      </c>
      <c r="C10" s="25">
        <v>116022</v>
      </c>
      <c r="D10" s="26">
        <f t="shared" si="1"/>
        <v>3.7759392006811027E-2</v>
      </c>
      <c r="E10" s="23" t="s">
        <v>55</v>
      </c>
      <c r="F10" s="14" t="s">
        <v>56</v>
      </c>
    </row>
    <row r="11" spans="1:6" ht="25.5" x14ac:dyDescent="0.25">
      <c r="A11" s="23">
        <f t="shared" si="0"/>
        <v>7</v>
      </c>
      <c r="B11" s="24" t="s">
        <v>63</v>
      </c>
      <c r="C11" s="25">
        <v>94445</v>
      </c>
      <c r="D11" s="26">
        <f t="shared" si="1"/>
        <v>3.0737151385799823E-2</v>
      </c>
      <c r="E11" s="23" t="s">
        <v>55</v>
      </c>
      <c r="F11" s="14" t="s">
        <v>64</v>
      </c>
    </row>
    <row r="12" spans="1:6" x14ac:dyDescent="0.25">
      <c r="A12" s="23">
        <f t="shared" si="0"/>
        <v>8</v>
      </c>
      <c r="B12" s="24" t="s">
        <v>65</v>
      </c>
      <c r="C12" s="25">
        <v>55081</v>
      </c>
      <c r="D12" s="26">
        <f t="shared" si="1"/>
        <v>1.7926126692585528E-2</v>
      </c>
      <c r="E12" s="23" t="s">
        <v>55</v>
      </c>
      <c r="F12" s="14" t="s">
        <v>56</v>
      </c>
    </row>
    <row r="13" spans="1:6" x14ac:dyDescent="0.25">
      <c r="A13" s="23">
        <f t="shared" si="0"/>
        <v>9</v>
      </c>
      <c r="B13" s="24" t="s">
        <v>66</v>
      </c>
      <c r="C13" s="25">
        <v>52274</v>
      </c>
      <c r="D13" s="26">
        <f t="shared" si="1"/>
        <v>1.7012587765803378E-2</v>
      </c>
      <c r="E13" s="23" t="s">
        <v>55</v>
      </c>
      <c r="F13" s="14" t="s">
        <v>56</v>
      </c>
    </row>
    <row r="14" spans="1:6" x14ac:dyDescent="0.25">
      <c r="A14" s="23">
        <f t="shared" si="0"/>
        <v>10</v>
      </c>
      <c r="B14" s="24" t="s">
        <v>67</v>
      </c>
      <c r="C14" s="25">
        <v>48824</v>
      </c>
      <c r="D14" s="26">
        <f t="shared" si="1"/>
        <v>1.58897843110836E-2</v>
      </c>
      <c r="E14" s="23" t="s">
        <v>55</v>
      </c>
      <c r="F14" s="14" t="s">
        <v>56</v>
      </c>
    </row>
    <row r="16" spans="1:6" x14ac:dyDescent="0.25">
      <c r="B16" s="17" t="s">
        <v>68</v>
      </c>
      <c r="C16" s="27">
        <v>3072666</v>
      </c>
      <c r="D16" s="26">
        <f>C16/$C$16</f>
        <v>1</v>
      </c>
    </row>
    <row r="17" spans="1:6" x14ac:dyDescent="0.25">
      <c r="B17" s="24" t="s">
        <v>69</v>
      </c>
      <c r="C17" s="28">
        <f>SUM(C5:C14)</f>
        <v>2179957</v>
      </c>
      <c r="D17" s="26">
        <f>C17/$C$16</f>
        <v>0.7094676089103078</v>
      </c>
    </row>
    <row r="18" spans="1:6" x14ac:dyDescent="0.25">
      <c r="B18" s="24" t="s">
        <v>70</v>
      </c>
      <c r="C18" s="28">
        <f>C5+C8</f>
        <v>850343</v>
      </c>
      <c r="D18" s="26">
        <f>C18/$C$16</f>
        <v>0.27674436466573327</v>
      </c>
    </row>
    <row r="20" spans="1:6" x14ac:dyDescent="0.25">
      <c r="A20" s="7" t="s">
        <v>71</v>
      </c>
      <c r="B20" s="8"/>
      <c r="C20" s="8"/>
      <c r="D20" s="8"/>
      <c r="E20" s="8"/>
      <c r="F20" s="8"/>
    </row>
    <row r="21" spans="1:6" ht="31.5" customHeight="1" x14ac:dyDescent="0.25">
      <c r="A21" s="13"/>
      <c r="B21" s="13" t="s">
        <v>72</v>
      </c>
      <c r="C21" s="13" t="s">
        <v>9</v>
      </c>
      <c r="D21" s="13"/>
      <c r="E21" s="13"/>
      <c r="F21" s="13" t="s">
        <v>73</v>
      </c>
    </row>
    <row r="22" spans="1:6" x14ac:dyDescent="0.25">
      <c r="B22" s="24" t="s">
        <v>74</v>
      </c>
      <c r="C22" s="15">
        <f>'Attribution Calc'!B5</f>
        <v>805000</v>
      </c>
      <c r="F22" s="14" t="s">
        <v>75</v>
      </c>
    </row>
    <row r="23" spans="1:6" x14ac:dyDescent="0.25">
      <c r="B23" s="24" t="s">
        <v>76</v>
      </c>
      <c r="C23" s="28">
        <f>C5</f>
        <v>683491</v>
      </c>
    </row>
    <row r="24" spans="1:6" x14ac:dyDescent="0.25">
      <c r="B24" s="24" t="s">
        <v>77</v>
      </c>
      <c r="C24" s="15">
        <f>'Crash Estimates'!C5</f>
        <v>39254</v>
      </c>
    </row>
    <row r="25" spans="1:6" x14ac:dyDescent="0.25">
      <c r="B25" s="24" t="s">
        <v>78</v>
      </c>
      <c r="C25" s="29">
        <f>C23/C24</f>
        <v>17.412008967239007</v>
      </c>
    </row>
    <row r="26" spans="1:6" ht="25.5" x14ac:dyDescent="0.25">
      <c r="B26" s="24" t="s">
        <v>79</v>
      </c>
      <c r="C26" s="26">
        <f>C24/C7</f>
        <v>0.19880576756529533</v>
      </c>
      <c r="F26" s="14" t="s">
        <v>80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30" customWidth="1"/>
    <col min="3" max="3" width="34" customWidth="1"/>
    <col min="4" max="4" width="26" customWidth="1"/>
    <col min="5" max="5" width="22" customWidth="1"/>
    <col min="6" max="6" width="9" customWidth="1"/>
    <col min="7" max="7" width="18" customWidth="1"/>
    <col min="8" max="8" width="50" customWidth="1"/>
    <col min="9" max="9" width="9" customWidth="1"/>
    <col min="10" max="10" width="22" customWidth="1"/>
    <col min="11" max="11" width="46" customWidth="1"/>
  </cols>
  <sheetData>
    <row r="1" spans="1:11" ht="18" x14ac:dyDescent="0.25">
      <c r="A1" s="5" t="s">
        <v>81</v>
      </c>
    </row>
    <row r="2" spans="1:11" x14ac:dyDescent="0.25">
      <c r="A2" s="6" t="s">
        <v>82</v>
      </c>
    </row>
    <row r="4" spans="1:11" ht="31.5" customHeight="1" x14ac:dyDescent="0.25">
      <c r="A4" s="13" t="s">
        <v>83</v>
      </c>
      <c r="B4" s="13" t="s">
        <v>84</v>
      </c>
      <c r="C4" s="13" t="s">
        <v>85</v>
      </c>
      <c r="D4" s="13" t="s">
        <v>86</v>
      </c>
      <c r="E4" s="13" t="s">
        <v>8</v>
      </c>
      <c r="F4" s="13" t="s">
        <v>9</v>
      </c>
      <c r="G4" s="13" t="s">
        <v>87</v>
      </c>
      <c r="H4" s="13" t="s">
        <v>88</v>
      </c>
      <c r="I4" s="13" t="s">
        <v>89</v>
      </c>
      <c r="J4" s="13" t="s">
        <v>90</v>
      </c>
      <c r="K4" s="13" t="s">
        <v>91</v>
      </c>
    </row>
    <row r="5" spans="1:11" ht="25.5" x14ac:dyDescent="0.25">
      <c r="A5" s="23">
        <v>1</v>
      </c>
      <c r="B5" s="30" t="s">
        <v>92</v>
      </c>
      <c r="C5" s="14" t="s">
        <v>93</v>
      </c>
      <c r="D5" s="14" t="s">
        <v>94</v>
      </c>
      <c r="E5" s="14" t="s">
        <v>95</v>
      </c>
      <c r="F5" s="31">
        <v>1.23</v>
      </c>
      <c r="G5" s="14" t="s">
        <v>96</v>
      </c>
      <c r="H5" s="14" t="s">
        <v>97</v>
      </c>
      <c r="I5" s="23" t="s">
        <v>98</v>
      </c>
      <c r="J5" s="14" t="s">
        <v>99</v>
      </c>
      <c r="K5" s="14" t="s">
        <v>100</v>
      </c>
    </row>
    <row r="6" spans="1:11" ht="25.5" x14ac:dyDescent="0.25">
      <c r="A6" s="23">
        <v>2</v>
      </c>
      <c r="B6" s="30" t="s">
        <v>101</v>
      </c>
      <c r="C6" s="14" t="s">
        <v>102</v>
      </c>
      <c r="D6" s="14" t="s">
        <v>103</v>
      </c>
      <c r="E6" s="14" t="s">
        <v>104</v>
      </c>
      <c r="F6" s="32">
        <v>3.4000000000000002E-2</v>
      </c>
      <c r="G6" s="14" t="s">
        <v>105</v>
      </c>
      <c r="H6" s="14" t="s">
        <v>106</v>
      </c>
      <c r="I6" s="23" t="s">
        <v>98</v>
      </c>
      <c r="J6" s="14" t="s">
        <v>99</v>
      </c>
      <c r="K6" s="14" t="s">
        <v>107</v>
      </c>
    </row>
    <row r="7" spans="1:11" ht="25.5" x14ac:dyDescent="0.25">
      <c r="A7" s="23">
        <v>3</v>
      </c>
      <c r="B7" s="30" t="s">
        <v>108</v>
      </c>
      <c r="C7" s="14" t="s">
        <v>109</v>
      </c>
      <c r="D7" s="14" t="s">
        <v>110</v>
      </c>
      <c r="E7" s="14" t="s">
        <v>95</v>
      </c>
      <c r="F7" s="31">
        <v>2.5</v>
      </c>
      <c r="G7" s="14" t="s">
        <v>96</v>
      </c>
      <c r="H7" s="14" t="s">
        <v>111</v>
      </c>
      <c r="I7" s="23" t="s">
        <v>112</v>
      </c>
      <c r="J7" s="14" t="s">
        <v>113</v>
      </c>
      <c r="K7" s="14" t="s">
        <v>114</v>
      </c>
    </row>
    <row r="8" spans="1:11" ht="25.5" x14ac:dyDescent="0.25">
      <c r="A8" s="23">
        <v>4</v>
      </c>
      <c r="B8" s="30" t="s">
        <v>115</v>
      </c>
      <c r="C8" s="14" t="s">
        <v>102</v>
      </c>
      <c r="D8" s="14" t="s">
        <v>116</v>
      </c>
      <c r="E8" s="14" t="s">
        <v>95</v>
      </c>
      <c r="F8" s="31">
        <v>3</v>
      </c>
      <c r="G8" s="14" t="s">
        <v>96</v>
      </c>
      <c r="H8" s="14" t="s">
        <v>117</v>
      </c>
      <c r="I8" s="23" t="s">
        <v>112</v>
      </c>
      <c r="J8" s="14" t="s">
        <v>113</v>
      </c>
      <c r="K8" s="14" t="s">
        <v>118</v>
      </c>
    </row>
    <row r="9" spans="1:11" ht="25.5" x14ac:dyDescent="0.25">
      <c r="A9" s="23">
        <v>5</v>
      </c>
      <c r="B9" s="30" t="s">
        <v>119</v>
      </c>
      <c r="C9" s="14" t="s">
        <v>102</v>
      </c>
      <c r="D9" s="14" t="s">
        <v>120</v>
      </c>
      <c r="E9" s="14" t="s">
        <v>95</v>
      </c>
      <c r="F9" s="31">
        <v>3</v>
      </c>
      <c r="G9" s="14" t="s">
        <v>121</v>
      </c>
      <c r="H9" s="14" t="s">
        <v>122</v>
      </c>
      <c r="I9" s="23" t="s">
        <v>112</v>
      </c>
      <c r="J9" s="14" t="s">
        <v>113</v>
      </c>
      <c r="K9" s="14" t="s">
        <v>123</v>
      </c>
    </row>
    <row r="10" spans="1:11" ht="25.5" x14ac:dyDescent="0.25">
      <c r="A10" s="23">
        <v>6</v>
      </c>
      <c r="B10" s="30" t="s">
        <v>124</v>
      </c>
      <c r="C10" s="14" t="s">
        <v>125</v>
      </c>
      <c r="D10" s="14" t="s">
        <v>126</v>
      </c>
      <c r="E10" s="14" t="s">
        <v>127</v>
      </c>
      <c r="F10" s="31">
        <v>6</v>
      </c>
      <c r="G10" s="14" t="s">
        <v>96</v>
      </c>
      <c r="H10" s="14" t="s">
        <v>128</v>
      </c>
      <c r="I10" s="23" t="s">
        <v>129</v>
      </c>
      <c r="J10" s="14" t="s">
        <v>99</v>
      </c>
      <c r="K10" s="14" t="s">
        <v>130</v>
      </c>
    </row>
    <row r="11" spans="1:11" ht="38.25" x14ac:dyDescent="0.25">
      <c r="A11" s="23">
        <v>7</v>
      </c>
      <c r="B11" s="30" t="s">
        <v>131</v>
      </c>
      <c r="C11" s="14" t="s">
        <v>132</v>
      </c>
      <c r="D11" s="14" t="s">
        <v>133</v>
      </c>
      <c r="E11" s="14" t="s">
        <v>134</v>
      </c>
      <c r="F11" s="32">
        <v>0.53</v>
      </c>
      <c r="G11" s="14" t="s">
        <v>135</v>
      </c>
      <c r="H11" s="14" t="s">
        <v>136</v>
      </c>
      <c r="I11" s="23" t="s">
        <v>137</v>
      </c>
      <c r="J11" s="14" t="s">
        <v>99</v>
      </c>
      <c r="K11" s="14" t="s">
        <v>138</v>
      </c>
    </row>
    <row r="12" spans="1:11" ht="25.5" x14ac:dyDescent="0.25">
      <c r="A12" s="23">
        <v>8</v>
      </c>
      <c r="B12" s="30" t="s">
        <v>139</v>
      </c>
      <c r="C12" s="14" t="s">
        <v>140</v>
      </c>
      <c r="D12" s="14" t="s">
        <v>141</v>
      </c>
      <c r="E12" s="14" t="s">
        <v>142</v>
      </c>
      <c r="F12" s="32">
        <v>4.2000000000000003E-2</v>
      </c>
      <c r="G12" s="14" t="s">
        <v>135</v>
      </c>
      <c r="H12" s="14" t="s">
        <v>143</v>
      </c>
      <c r="I12" s="23" t="s">
        <v>144</v>
      </c>
      <c r="J12" s="14" t="s">
        <v>145</v>
      </c>
      <c r="K12" s="14" t="s">
        <v>146</v>
      </c>
    </row>
    <row r="14" spans="1:11" x14ac:dyDescent="0.25">
      <c r="A14" s="7" t="s">
        <v>147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31.5" customHeight="1" x14ac:dyDescent="0.25">
      <c r="A15" s="13"/>
      <c r="B15" s="13" t="s">
        <v>148</v>
      </c>
      <c r="C15" s="13" t="s">
        <v>149</v>
      </c>
      <c r="D15" s="13" t="s">
        <v>150</v>
      </c>
      <c r="E15" s="13" t="s">
        <v>151</v>
      </c>
    </row>
    <row r="16" spans="1:11" x14ac:dyDescent="0.25">
      <c r="B16" s="24" t="s">
        <v>152</v>
      </c>
      <c r="C16" s="25">
        <v>150</v>
      </c>
      <c r="D16" s="25">
        <v>21229</v>
      </c>
      <c r="E16" s="33">
        <f>C16/D16</f>
        <v>7.0658062084883889E-3</v>
      </c>
    </row>
    <row r="17" spans="1:11" x14ac:dyDescent="0.25">
      <c r="B17" s="24" t="s">
        <v>153</v>
      </c>
      <c r="C17" s="25">
        <v>246</v>
      </c>
      <c r="D17" s="25">
        <v>11282</v>
      </c>
      <c r="E17" s="33">
        <f>C17/D17</f>
        <v>2.1804644566566212E-2</v>
      </c>
    </row>
    <row r="18" spans="1:11" x14ac:dyDescent="0.25">
      <c r="B18" s="17" t="s">
        <v>154</v>
      </c>
      <c r="E18" s="34">
        <f>E17/E16</f>
        <v>3.0859386633575605</v>
      </c>
    </row>
    <row r="19" spans="1:11" ht="15" customHeight="1" x14ac:dyDescent="0.25">
      <c r="B19" s="2" t="s">
        <v>155</v>
      </c>
      <c r="C19" s="2"/>
      <c r="D19" s="2"/>
      <c r="E19" s="2"/>
      <c r="F19" s="2"/>
      <c r="G19" s="2"/>
      <c r="H19" s="2"/>
    </row>
    <row r="21" spans="1:11" x14ac:dyDescent="0.25">
      <c r="A21" s="7" t="s">
        <v>156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t="31.5" customHeight="1" x14ac:dyDescent="0.25">
      <c r="A22" s="13"/>
      <c r="B22" s="13" t="s">
        <v>86</v>
      </c>
      <c r="C22" s="13" t="s">
        <v>95</v>
      </c>
    </row>
    <row r="23" spans="1:11" x14ac:dyDescent="0.25">
      <c r="B23" s="24" t="s">
        <v>157</v>
      </c>
      <c r="C23" s="35">
        <f>F5</f>
        <v>1.23</v>
      </c>
    </row>
    <row r="24" spans="1:11" x14ac:dyDescent="0.25">
      <c r="B24" s="24" t="s">
        <v>158</v>
      </c>
      <c r="C24" s="35">
        <f>F7</f>
        <v>2.5</v>
      </c>
    </row>
    <row r="25" spans="1:11" x14ac:dyDescent="0.25">
      <c r="B25" s="24" t="s">
        <v>159</v>
      </c>
      <c r="C25" s="35">
        <f>F8</f>
        <v>3</v>
      </c>
    </row>
    <row r="26" spans="1:11" x14ac:dyDescent="0.25">
      <c r="B26" s="24" t="s">
        <v>160</v>
      </c>
      <c r="C26" s="35">
        <f>F9</f>
        <v>3</v>
      </c>
    </row>
    <row r="27" spans="1:11" x14ac:dyDescent="0.25">
      <c r="B27" s="24" t="s">
        <v>161</v>
      </c>
      <c r="C27" s="35">
        <f>F10</f>
        <v>6</v>
      </c>
    </row>
  </sheetData>
  <mergeCells count="1">
    <mergeCell ref="B19:H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64" customWidth="1"/>
    <col min="2" max="2" width="16" customWidth="1"/>
    <col min="3" max="3" width="22" customWidth="1"/>
    <col min="4" max="4" width="78" customWidth="1"/>
  </cols>
  <sheetData>
    <row r="1" spans="1:4" ht="18" x14ac:dyDescent="0.25">
      <c r="A1" s="5" t="s">
        <v>162</v>
      </c>
    </row>
    <row r="2" spans="1:4" x14ac:dyDescent="0.25">
      <c r="A2" s="6" t="s">
        <v>163</v>
      </c>
    </row>
    <row r="4" spans="1:4" ht="31.5" customHeight="1" x14ac:dyDescent="0.25">
      <c r="A4" s="13" t="s">
        <v>164</v>
      </c>
      <c r="B4" s="13" t="s">
        <v>9</v>
      </c>
      <c r="C4" s="13" t="s">
        <v>87</v>
      </c>
      <c r="D4" s="13" t="s">
        <v>165</v>
      </c>
    </row>
    <row r="5" spans="1:4" x14ac:dyDescent="0.25">
      <c r="A5" s="24" t="s">
        <v>15</v>
      </c>
      <c r="B5" s="25">
        <v>805000</v>
      </c>
      <c r="C5" s="24" t="s">
        <v>166</v>
      </c>
      <c r="D5" s="14" t="s">
        <v>167</v>
      </c>
    </row>
    <row r="6" spans="1:4" x14ac:dyDescent="0.25">
      <c r="A6" s="24" t="s">
        <v>168</v>
      </c>
      <c r="B6" s="25">
        <v>605000</v>
      </c>
      <c r="C6" s="24" t="s">
        <v>166</v>
      </c>
      <c r="D6" s="14" t="s">
        <v>169</v>
      </c>
    </row>
    <row r="7" spans="1:4" x14ac:dyDescent="0.25">
      <c r="A7" s="24" t="s">
        <v>170</v>
      </c>
      <c r="B7" s="28">
        <f>B5-B6</f>
        <v>200000</v>
      </c>
      <c r="C7" s="24" t="s">
        <v>166</v>
      </c>
      <c r="D7" s="14" t="s">
        <v>171</v>
      </c>
    </row>
    <row r="8" spans="1:4" ht="25.5" x14ac:dyDescent="0.25">
      <c r="A8" s="24" t="s">
        <v>172</v>
      </c>
      <c r="B8" s="32">
        <v>0.12</v>
      </c>
      <c r="C8" s="24" t="s">
        <v>105</v>
      </c>
      <c r="D8" s="14" t="s">
        <v>173</v>
      </c>
    </row>
    <row r="9" spans="1:4" ht="25.5" x14ac:dyDescent="0.25">
      <c r="A9" s="17" t="s">
        <v>174</v>
      </c>
      <c r="B9" s="36">
        <v>3.4000000000000002E-2</v>
      </c>
      <c r="C9" s="24" t="s">
        <v>105</v>
      </c>
      <c r="D9" s="14" t="s">
        <v>175</v>
      </c>
    </row>
    <row r="11" spans="1:4" x14ac:dyDescent="0.25">
      <c r="A11" s="7" t="s">
        <v>176</v>
      </c>
      <c r="B11" s="8"/>
      <c r="C11" s="8"/>
      <c r="D11" s="8"/>
    </row>
    <row r="12" spans="1:4" x14ac:dyDescent="0.25">
      <c r="A12" s="24" t="s">
        <v>177</v>
      </c>
      <c r="B12" s="28">
        <f>B5*B9</f>
        <v>27370.000000000004</v>
      </c>
      <c r="C12" s="24" t="s">
        <v>166</v>
      </c>
      <c r="D12" s="14" t="s">
        <v>178</v>
      </c>
    </row>
    <row r="13" spans="1:4" x14ac:dyDescent="0.25">
      <c r="A13" s="24" t="s">
        <v>179</v>
      </c>
      <c r="B13" s="28">
        <f>B12*B8</f>
        <v>3284.4</v>
      </c>
      <c r="C13" s="24" t="s">
        <v>180</v>
      </c>
      <c r="D13" s="14" t="s">
        <v>181</v>
      </c>
    </row>
    <row r="14" spans="1:4" x14ac:dyDescent="0.25">
      <c r="A14" s="24" t="s">
        <v>182</v>
      </c>
      <c r="B14" s="28">
        <f>B12/365</f>
        <v>74.986301369863028</v>
      </c>
      <c r="C14" s="24" t="s">
        <v>183</v>
      </c>
      <c r="D14" s="14"/>
    </row>
    <row r="15" spans="1:4" ht="15" customHeight="1" x14ac:dyDescent="0.25">
      <c r="A15" s="2" t="s">
        <v>184</v>
      </c>
      <c r="B15" s="2"/>
      <c r="C15" s="2"/>
      <c r="D15" s="2"/>
    </row>
    <row r="17" spans="1:4" x14ac:dyDescent="0.25">
      <c r="A17" s="7" t="s">
        <v>185</v>
      </c>
      <c r="B17" s="8"/>
      <c r="C17" s="8"/>
      <c r="D17" s="8"/>
    </row>
    <row r="18" spans="1:4" ht="31.5" customHeight="1" x14ac:dyDescent="0.25">
      <c r="A18" s="13" t="s">
        <v>104</v>
      </c>
      <c r="B18" s="13" t="s">
        <v>186</v>
      </c>
      <c r="C18" s="13" t="s">
        <v>187</v>
      </c>
      <c r="D18" s="13" t="s">
        <v>73</v>
      </c>
    </row>
    <row r="19" spans="1:4" x14ac:dyDescent="0.25">
      <c r="A19" s="37">
        <v>0.01</v>
      </c>
      <c r="B19" s="28">
        <f t="shared" ref="B19:B24" si="0">$B$5*A19</f>
        <v>8050</v>
      </c>
      <c r="C19" s="28">
        <f t="shared" ref="C19:C24" si="1">B19*$B$8</f>
        <v>966</v>
      </c>
      <c r="D19" s="24" t="s">
        <v>188</v>
      </c>
    </row>
    <row r="20" spans="1:4" x14ac:dyDescent="0.25">
      <c r="A20" s="38">
        <f>B9</f>
        <v>3.4000000000000002E-2</v>
      </c>
      <c r="B20" s="28">
        <f t="shared" si="0"/>
        <v>27370.000000000004</v>
      </c>
      <c r="C20" s="28">
        <f t="shared" si="1"/>
        <v>3284.4</v>
      </c>
      <c r="D20" s="24" t="s">
        <v>189</v>
      </c>
    </row>
    <row r="21" spans="1:4" x14ac:dyDescent="0.25">
      <c r="A21" s="37">
        <v>0.05</v>
      </c>
      <c r="B21" s="28">
        <f t="shared" si="0"/>
        <v>40250</v>
      </c>
      <c r="C21" s="28">
        <f t="shared" si="1"/>
        <v>4830</v>
      </c>
      <c r="D21" s="24" t="s">
        <v>190</v>
      </c>
    </row>
    <row r="22" spans="1:4" x14ac:dyDescent="0.25">
      <c r="A22" s="37">
        <v>0.1</v>
      </c>
      <c r="B22" s="28">
        <f t="shared" si="0"/>
        <v>80500</v>
      </c>
      <c r="C22" s="28">
        <f t="shared" si="1"/>
        <v>9660</v>
      </c>
      <c r="D22" s="24" t="s">
        <v>190</v>
      </c>
    </row>
    <row r="23" spans="1:4" x14ac:dyDescent="0.25">
      <c r="A23" s="37">
        <v>0.15</v>
      </c>
      <c r="B23" s="28">
        <f t="shared" si="0"/>
        <v>120750</v>
      </c>
      <c r="C23" s="28">
        <f t="shared" si="1"/>
        <v>14490</v>
      </c>
      <c r="D23" s="24" t="s">
        <v>190</v>
      </c>
    </row>
    <row r="24" spans="1:4" x14ac:dyDescent="0.25">
      <c r="A24" s="37">
        <v>0.2</v>
      </c>
      <c r="B24" s="28">
        <f t="shared" si="0"/>
        <v>161000</v>
      </c>
      <c r="C24" s="28">
        <f t="shared" si="1"/>
        <v>19320</v>
      </c>
      <c r="D24" s="24" t="s">
        <v>190</v>
      </c>
    </row>
    <row r="26" spans="1:4" x14ac:dyDescent="0.25">
      <c r="A26" s="7" t="s">
        <v>191</v>
      </c>
      <c r="B26" s="8"/>
      <c r="C26" s="8"/>
      <c r="D26" s="8"/>
    </row>
    <row r="27" spans="1:4" ht="31.5" customHeight="1" x14ac:dyDescent="0.25">
      <c r="A27" s="13" t="s">
        <v>192</v>
      </c>
      <c r="B27" s="13" t="s">
        <v>193</v>
      </c>
      <c r="C27" s="13" t="s">
        <v>194</v>
      </c>
      <c r="D27" s="13" t="s">
        <v>165</v>
      </c>
    </row>
    <row r="28" spans="1:4" x14ac:dyDescent="0.25">
      <c r="A28" s="24" t="s">
        <v>120</v>
      </c>
      <c r="B28" s="32">
        <v>0.36</v>
      </c>
      <c r="C28" s="28">
        <f>$B$5*B28</f>
        <v>289800</v>
      </c>
      <c r="D28" s="14" t="s">
        <v>195</v>
      </c>
    </row>
    <row r="29" spans="1:4" x14ac:dyDescent="0.25">
      <c r="A29" s="24" t="s">
        <v>196</v>
      </c>
      <c r="B29" s="32">
        <v>0.12</v>
      </c>
      <c r="C29" s="28">
        <f>$B$5*B29</f>
        <v>96600</v>
      </c>
      <c r="D29" s="14" t="s">
        <v>197</v>
      </c>
    </row>
    <row r="30" spans="1:4" x14ac:dyDescent="0.25">
      <c r="A30" s="24" t="s">
        <v>198</v>
      </c>
      <c r="B30" s="32">
        <v>0.2</v>
      </c>
      <c r="C30" s="28">
        <f>$B$5*B30</f>
        <v>161000</v>
      </c>
      <c r="D30" s="14" t="s">
        <v>199</v>
      </c>
    </row>
    <row r="31" spans="1:4" x14ac:dyDescent="0.25">
      <c r="A31" s="24" t="s">
        <v>200</v>
      </c>
      <c r="B31" s="26">
        <f>B9</f>
        <v>3.4000000000000002E-2</v>
      </c>
      <c r="C31" s="28">
        <f>$B$5*B31</f>
        <v>27370.000000000004</v>
      </c>
      <c r="D31" s="14" t="s">
        <v>201</v>
      </c>
    </row>
  </sheetData>
  <mergeCells count="1"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tabSelected="1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66" customWidth="1"/>
    <col min="3" max="3" width="16" customWidth="1"/>
    <col min="4" max="5" width="18" customWidth="1"/>
    <col min="6" max="6" width="72" customWidth="1"/>
  </cols>
  <sheetData>
    <row r="1" spans="1:6" ht="18" x14ac:dyDescent="0.25">
      <c r="A1" s="5" t="s">
        <v>202</v>
      </c>
    </row>
    <row r="2" spans="1:6" x14ac:dyDescent="0.25">
      <c r="A2" s="6" t="s">
        <v>203</v>
      </c>
    </row>
    <row r="4" spans="1:6" ht="31.5" customHeight="1" x14ac:dyDescent="0.25">
      <c r="A4" s="13" t="s">
        <v>204</v>
      </c>
      <c r="B4" s="13" t="s">
        <v>164</v>
      </c>
      <c r="C4" s="13" t="s">
        <v>9</v>
      </c>
      <c r="D4" s="1" t="s">
        <v>89</v>
      </c>
      <c r="E4" s="1"/>
      <c r="F4" s="13" t="s">
        <v>165</v>
      </c>
    </row>
    <row r="5" spans="1:6" x14ac:dyDescent="0.25">
      <c r="A5" s="23" t="s">
        <v>205</v>
      </c>
      <c r="B5" s="14" t="s">
        <v>206</v>
      </c>
      <c r="C5" s="25">
        <v>39254</v>
      </c>
      <c r="D5" s="23" t="s">
        <v>207</v>
      </c>
      <c r="E5" s="24"/>
      <c r="F5" s="14" t="s">
        <v>208</v>
      </c>
    </row>
    <row r="6" spans="1:6" x14ac:dyDescent="0.25">
      <c r="A6" s="23" t="s">
        <v>209</v>
      </c>
      <c r="B6" s="14" t="s">
        <v>210</v>
      </c>
      <c r="C6" s="25">
        <v>36640</v>
      </c>
      <c r="D6" s="23" t="s">
        <v>211</v>
      </c>
      <c r="E6" s="24"/>
      <c r="F6" s="14" t="s">
        <v>212</v>
      </c>
    </row>
    <row r="7" spans="1:6" ht="25.5" x14ac:dyDescent="0.25">
      <c r="A7" s="23" t="s">
        <v>213</v>
      </c>
      <c r="B7" s="14" t="s">
        <v>214</v>
      </c>
      <c r="C7" s="36">
        <v>1.2999999999999999E-2</v>
      </c>
      <c r="D7" s="23" t="s">
        <v>215</v>
      </c>
      <c r="E7" s="24"/>
      <c r="F7" s="14" t="s">
        <v>216</v>
      </c>
    </row>
    <row r="8" spans="1:6" x14ac:dyDescent="0.25">
      <c r="A8" s="23" t="s">
        <v>217</v>
      </c>
      <c r="B8" s="14" t="s">
        <v>218</v>
      </c>
      <c r="C8" s="32">
        <v>0.84</v>
      </c>
      <c r="D8" s="23" t="s">
        <v>215</v>
      </c>
      <c r="E8" s="24"/>
      <c r="F8" s="14" t="s">
        <v>219</v>
      </c>
    </row>
    <row r="9" spans="1:6" ht="25.5" x14ac:dyDescent="0.25">
      <c r="A9" s="23" t="s">
        <v>220</v>
      </c>
      <c r="B9" s="14" t="s">
        <v>221</v>
      </c>
      <c r="C9" s="26">
        <f>1-C8</f>
        <v>0.16000000000000003</v>
      </c>
      <c r="D9" s="23" t="s">
        <v>222</v>
      </c>
      <c r="E9" s="24"/>
      <c r="F9" s="14" t="s">
        <v>223</v>
      </c>
    </row>
    <row r="10" spans="1:6" x14ac:dyDescent="0.25">
      <c r="A10" s="23" t="s">
        <v>224</v>
      </c>
      <c r="B10" s="14" t="s">
        <v>225</v>
      </c>
      <c r="C10" s="32">
        <v>0.28000000000000003</v>
      </c>
      <c r="D10" s="23" t="s">
        <v>226</v>
      </c>
      <c r="E10" s="24"/>
      <c r="F10" s="14" t="s">
        <v>227</v>
      </c>
    </row>
    <row r="11" spans="1:6" x14ac:dyDescent="0.25">
      <c r="A11" s="23" t="s">
        <v>228</v>
      </c>
      <c r="B11" s="14" t="s">
        <v>229</v>
      </c>
      <c r="C11" s="32">
        <v>0.11</v>
      </c>
      <c r="D11" s="23" t="s">
        <v>226</v>
      </c>
      <c r="E11" s="24"/>
      <c r="F11" s="14" t="s">
        <v>230</v>
      </c>
    </row>
    <row r="12" spans="1:6" x14ac:dyDescent="0.25">
      <c r="A12" s="23" t="s">
        <v>231</v>
      </c>
      <c r="B12" s="14" t="s">
        <v>232</v>
      </c>
      <c r="C12" s="35">
        <f>C10/C11</f>
        <v>2.5454545454545459</v>
      </c>
      <c r="D12" s="23" t="s">
        <v>222</v>
      </c>
      <c r="E12" s="24"/>
      <c r="F12" s="14" t="s">
        <v>233</v>
      </c>
    </row>
    <row r="13" spans="1:6" x14ac:dyDescent="0.25">
      <c r="A13" s="23" t="s">
        <v>234</v>
      </c>
      <c r="B13" s="14" t="s">
        <v>235</v>
      </c>
      <c r="C13" s="36">
        <v>1.7000000000000001E-2</v>
      </c>
      <c r="D13" s="23" t="s">
        <v>236</v>
      </c>
      <c r="E13" s="24"/>
      <c r="F13" s="14" t="s">
        <v>237</v>
      </c>
    </row>
    <row r="14" spans="1:6" x14ac:dyDescent="0.25">
      <c r="A14" s="23" t="s">
        <v>238</v>
      </c>
      <c r="B14" s="14" t="s">
        <v>239</v>
      </c>
      <c r="C14" s="36">
        <v>2.1000000000000001E-2</v>
      </c>
      <c r="D14" s="23" t="s">
        <v>236</v>
      </c>
      <c r="E14" s="24"/>
      <c r="F14" s="14" t="s">
        <v>240</v>
      </c>
    </row>
    <row r="15" spans="1:6" x14ac:dyDescent="0.25">
      <c r="A15" s="23" t="s">
        <v>241</v>
      </c>
      <c r="B15" s="14" t="s">
        <v>242</v>
      </c>
      <c r="C15" s="32">
        <v>1.4999999999999999E-2</v>
      </c>
      <c r="D15" s="23" t="s">
        <v>236</v>
      </c>
      <c r="E15" s="24"/>
      <c r="F15" s="14" t="s">
        <v>243</v>
      </c>
    </row>
    <row r="16" spans="1:6" x14ac:dyDescent="0.25">
      <c r="A16" s="23" t="s">
        <v>244</v>
      </c>
      <c r="B16" s="14" t="s">
        <v>245</v>
      </c>
      <c r="C16" s="32">
        <v>3.4000000000000002E-2</v>
      </c>
      <c r="D16" s="23" t="s">
        <v>236</v>
      </c>
      <c r="E16" s="24"/>
      <c r="F16" s="14" t="s">
        <v>243</v>
      </c>
    </row>
    <row r="17" spans="1:6" x14ac:dyDescent="0.25">
      <c r="A17" s="23" t="s">
        <v>246</v>
      </c>
      <c r="B17" s="14" t="s">
        <v>247</v>
      </c>
      <c r="C17" s="32">
        <v>1E-3</v>
      </c>
      <c r="D17" s="23" t="s">
        <v>248</v>
      </c>
      <c r="E17" s="24"/>
      <c r="F17" s="14" t="s">
        <v>249</v>
      </c>
    </row>
    <row r="18" spans="1:6" x14ac:dyDescent="0.25">
      <c r="A18" s="23" t="s">
        <v>250</v>
      </c>
      <c r="B18" s="14" t="s">
        <v>251</v>
      </c>
      <c r="C18" s="32">
        <v>0.03</v>
      </c>
      <c r="D18" s="23" t="s">
        <v>248</v>
      </c>
      <c r="E18" s="24"/>
      <c r="F18" s="14" t="s">
        <v>252</v>
      </c>
    </row>
    <row r="20" spans="1:6" x14ac:dyDescent="0.25">
      <c r="A20" s="7" t="s">
        <v>253</v>
      </c>
      <c r="B20" s="8"/>
      <c r="C20" s="8"/>
      <c r="D20" s="8"/>
      <c r="E20" s="8"/>
      <c r="F20" s="8"/>
    </row>
    <row r="21" spans="1:6" ht="31.5" customHeight="1" x14ac:dyDescent="0.25">
      <c r="A21" s="13" t="s">
        <v>204</v>
      </c>
      <c r="B21" s="13" t="s">
        <v>254</v>
      </c>
      <c r="C21" s="13" t="s">
        <v>255</v>
      </c>
      <c r="D21" s="13" t="s">
        <v>256</v>
      </c>
      <c r="E21" s="13" t="s">
        <v>257</v>
      </c>
      <c r="F21" s="13" t="s">
        <v>258</v>
      </c>
    </row>
    <row r="22" spans="1:6" ht="25.5" x14ac:dyDescent="0.25">
      <c r="A22" s="39" t="s">
        <v>259</v>
      </c>
      <c r="B22" s="14" t="s">
        <v>260</v>
      </c>
      <c r="C22" s="33">
        <f>C7*C9</f>
        <v>2.0800000000000003E-3</v>
      </c>
      <c r="D22" s="28">
        <f>$C$5*C22</f>
        <v>81.648320000000012</v>
      </c>
      <c r="E22" s="28">
        <f>$C$6*C22</f>
        <v>76.211200000000005</v>
      </c>
      <c r="F22" s="14" t="s">
        <v>261</v>
      </c>
    </row>
    <row r="23" spans="1:6" ht="25.5" x14ac:dyDescent="0.25">
      <c r="A23" s="39" t="s">
        <v>262</v>
      </c>
      <c r="B23" s="14" t="s">
        <v>263</v>
      </c>
      <c r="C23" s="33">
        <f>C7*C9*C12</f>
        <v>5.2945454545454563E-3</v>
      </c>
      <c r="D23" s="28">
        <f>$C$5*C23</f>
        <v>207.83208727272734</v>
      </c>
      <c r="E23" s="28">
        <f>$C$6*C23</f>
        <v>193.99214545454552</v>
      </c>
      <c r="F23" s="14" t="s">
        <v>264</v>
      </c>
    </row>
    <row r="24" spans="1:6" ht="25.5" x14ac:dyDescent="0.25">
      <c r="A24" s="39" t="s">
        <v>169</v>
      </c>
      <c r="B24" s="14" t="s">
        <v>265</v>
      </c>
      <c r="C24" s="33">
        <f>C13</f>
        <v>1.7000000000000001E-2</v>
      </c>
      <c r="D24" s="28">
        <f>$C$5*C24</f>
        <v>667.3180000000001</v>
      </c>
      <c r="E24" s="28">
        <f>$C$6*C24</f>
        <v>622.88</v>
      </c>
      <c r="F24" s="14" t="s">
        <v>266</v>
      </c>
    </row>
    <row r="25" spans="1:6" x14ac:dyDescent="0.25">
      <c r="A25" s="39" t="s">
        <v>267</v>
      </c>
      <c r="B25" s="14" t="s">
        <v>268</v>
      </c>
      <c r="C25" s="33">
        <f>C14</f>
        <v>2.1000000000000001E-2</v>
      </c>
      <c r="D25" s="28">
        <f>$C$5*C25</f>
        <v>824.33400000000006</v>
      </c>
      <c r="E25" s="28">
        <f>$C$6*C25</f>
        <v>769.44</v>
      </c>
      <c r="F25" s="14" t="s">
        <v>269</v>
      </c>
    </row>
    <row r="27" spans="1:6" x14ac:dyDescent="0.25">
      <c r="A27" s="24"/>
      <c r="B27" s="17" t="s">
        <v>270</v>
      </c>
      <c r="C27" s="24"/>
      <c r="D27" s="40">
        <f>MIN(D22:D25)</f>
        <v>81.648320000000012</v>
      </c>
      <c r="E27" s="40">
        <f>MIN(E22:E25)</f>
        <v>76.211200000000005</v>
      </c>
      <c r="F27" s="24"/>
    </row>
    <row r="28" spans="1:6" x14ac:dyDescent="0.25">
      <c r="A28" s="24"/>
      <c r="B28" s="17" t="s">
        <v>271</v>
      </c>
      <c r="C28" s="24"/>
      <c r="D28" s="40">
        <f>MAX(D22:D25)</f>
        <v>824.33400000000006</v>
      </c>
      <c r="E28" s="40">
        <f>MAX(E22:E25)</f>
        <v>769.44</v>
      </c>
      <c r="F28" s="24"/>
    </row>
    <row r="29" spans="1:6" x14ac:dyDescent="0.25">
      <c r="A29" s="24"/>
      <c r="B29" s="17" t="s">
        <v>272</v>
      </c>
      <c r="C29" s="24"/>
      <c r="D29" s="40">
        <f>AVERAGE(D22:D25)</f>
        <v>445.28310181818188</v>
      </c>
      <c r="E29" s="40">
        <f>AVERAGE(E22:E25)</f>
        <v>415.63083636363638</v>
      </c>
      <c r="F29" s="24"/>
    </row>
    <row r="30" spans="1:6" x14ac:dyDescent="0.25">
      <c r="A30" s="24"/>
      <c r="B30" s="24" t="s">
        <v>273</v>
      </c>
      <c r="C30" s="24"/>
      <c r="D30" s="33">
        <f>D27/$C$5</f>
        <v>2.0800000000000003E-3</v>
      </c>
      <c r="E30" s="33">
        <f>E27/$C$6</f>
        <v>2.0800000000000003E-3</v>
      </c>
      <c r="F30" s="24"/>
    </row>
    <row r="31" spans="1:6" x14ac:dyDescent="0.25">
      <c r="A31" s="24"/>
      <c r="B31" s="24" t="s">
        <v>274</v>
      </c>
      <c r="C31" s="24"/>
      <c r="D31" s="33">
        <f>D28/$C$5</f>
        <v>2.1000000000000001E-2</v>
      </c>
      <c r="E31" s="33">
        <f>E28/$C$6</f>
        <v>2.1000000000000001E-2</v>
      </c>
      <c r="F31" s="24"/>
    </row>
    <row r="32" spans="1:6" ht="15" customHeight="1" x14ac:dyDescent="0.25">
      <c r="A32" s="2" t="s">
        <v>275</v>
      </c>
      <c r="B32" s="2"/>
      <c r="C32" s="2"/>
      <c r="D32" s="2"/>
      <c r="E32" s="2"/>
      <c r="F32" s="2"/>
    </row>
    <row r="34" spans="1:6" x14ac:dyDescent="0.25">
      <c r="A34" s="7" t="s">
        <v>276</v>
      </c>
      <c r="B34" s="8"/>
      <c r="C34" s="8"/>
      <c r="D34" s="8"/>
      <c r="E34" s="8"/>
      <c r="F34" s="8"/>
    </row>
    <row r="35" spans="1:6" ht="31.5" customHeight="1" x14ac:dyDescent="0.25">
      <c r="A35" s="13"/>
      <c r="B35" s="13" t="s">
        <v>277</v>
      </c>
      <c r="C35" s="13" t="s">
        <v>278</v>
      </c>
      <c r="D35" s="13" t="s">
        <v>279</v>
      </c>
      <c r="E35" s="13" t="s">
        <v>280</v>
      </c>
      <c r="F35" s="13" t="s">
        <v>73</v>
      </c>
    </row>
    <row r="36" spans="1:6" x14ac:dyDescent="0.25">
      <c r="A36" s="24"/>
      <c r="B36" s="24" t="s">
        <v>281</v>
      </c>
      <c r="C36" s="33">
        <f>C7</f>
        <v>1.2999999999999999E-2</v>
      </c>
      <c r="D36" s="28">
        <f>$C$5*C36</f>
        <v>510.30199999999996</v>
      </c>
      <c r="E36" s="28">
        <f>$C$6*C36</f>
        <v>476.32</v>
      </c>
      <c r="F36" s="24" t="s">
        <v>282</v>
      </c>
    </row>
    <row r="37" spans="1:6" x14ac:dyDescent="0.25">
      <c r="A37" s="24"/>
      <c r="B37" s="24" t="s">
        <v>283</v>
      </c>
      <c r="C37" s="33">
        <f>C15</f>
        <v>1.4999999999999999E-2</v>
      </c>
      <c r="D37" s="28">
        <f>$C$5*C37</f>
        <v>588.80999999999995</v>
      </c>
      <c r="E37" s="28">
        <f>$C$6*C37</f>
        <v>549.6</v>
      </c>
      <c r="F37" s="24" t="s">
        <v>284</v>
      </c>
    </row>
    <row r="38" spans="1:6" x14ac:dyDescent="0.25">
      <c r="A38" s="24"/>
      <c r="B38" s="24" t="s">
        <v>285</v>
      </c>
      <c r="C38" s="33">
        <f>C16</f>
        <v>3.4000000000000002E-2</v>
      </c>
      <c r="D38" s="28">
        <f>$C$5*C38</f>
        <v>1334.6360000000002</v>
      </c>
      <c r="E38" s="28">
        <f>$C$6*C38</f>
        <v>1245.76</v>
      </c>
      <c r="F38" s="24" t="s">
        <v>284</v>
      </c>
    </row>
    <row r="39" spans="1:6" x14ac:dyDescent="0.25">
      <c r="A39" s="24"/>
      <c r="B39" s="24" t="s">
        <v>286</v>
      </c>
      <c r="C39" s="33">
        <f>C17</f>
        <v>1E-3</v>
      </c>
      <c r="D39" s="28">
        <f>$C$5*C39</f>
        <v>39.253999999999998</v>
      </c>
      <c r="E39" s="28">
        <f>$C$6*C39</f>
        <v>36.64</v>
      </c>
      <c r="F39" s="24" t="s">
        <v>287</v>
      </c>
    </row>
    <row r="40" spans="1:6" x14ac:dyDescent="0.25">
      <c r="A40" s="24"/>
      <c r="B40" s="24" t="s">
        <v>288</v>
      </c>
      <c r="C40" s="33">
        <f>C18</f>
        <v>0.03</v>
      </c>
      <c r="D40" s="28">
        <f>$C$5*C40</f>
        <v>1177.6199999999999</v>
      </c>
      <c r="E40" s="28">
        <f>$C$6*C40</f>
        <v>1099.2</v>
      </c>
      <c r="F40" s="24" t="s">
        <v>287</v>
      </c>
    </row>
  </sheetData>
  <mergeCells count="2">
    <mergeCell ref="D4:E4"/>
    <mergeCell ref="A32:F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40" customWidth="1"/>
    <col min="2" max="2" width="66" customWidth="1"/>
    <col min="3" max="5" width="14" customWidth="1"/>
    <col min="6" max="6" width="58" customWidth="1"/>
    <col min="7" max="7" width="10" customWidth="1"/>
  </cols>
  <sheetData>
    <row r="1" spans="1:7" ht="18" x14ac:dyDescent="0.25">
      <c r="A1" s="5" t="s">
        <v>289</v>
      </c>
    </row>
    <row r="2" spans="1:7" x14ac:dyDescent="0.25">
      <c r="A2" s="6" t="s">
        <v>290</v>
      </c>
    </row>
    <row r="4" spans="1:7" ht="31.5" customHeight="1" x14ac:dyDescent="0.25">
      <c r="A4" s="13" t="s">
        <v>291</v>
      </c>
      <c r="B4" s="13" t="s">
        <v>8</v>
      </c>
      <c r="C4" s="13" t="s">
        <v>292</v>
      </c>
      <c r="D4" s="13" t="s">
        <v>293</v>
      </c>
      <c r="E4" s="13" t="s">
        <v>294</v>
      </c>
      <c r="F4" s="13" t="s">
        <v>73</v>
      </c>
      <c r="G4" s="13" t="s">
        <v>89</v>
      </c>
    </row>
    <row r="5" spans="1:7" x14ac:dyDescent="0.25">
      <c r="A5" s="30" t="s">
        <v>295</v>
      </c>
      <c r="B5" s="14" t="s">
        <v>296</v>
      </c>
      <c r="C5" s="25">
        <v>86</v>
      </c>
      <c r="D5" s="28"/>
      <c r="E5" s="24"/>
      <c r="F5" s="14" t="s">
        <v>297</v>
      </c>
      <c r="G5" s="23" t="s">
        <v>298</v>
      </c>
    </row>
    <row r="6" spans="1:7" ht="25.5" x14ac:dyDescent="0.25">
      <c r="A6" s="30"/>
      <c r="B6" s="14" t="s">
        <v>299</v>
      </c>
      <c r="C6" s="25">
        <v>80</v>
      </c>
      <c r="D6" s="28">
        <f>C5</f>
        <v>86</v>
      </c>
      <c r="E6" s="26">
        <f>C6/D6</f>
        <v>0.93023255813953487</v>
      </c>
      <c r="F6" s="14" t="s">
        <v>300</v>
      </c>
      <c r="G6" s="23"/>
    </row>
    <row r="7" spans="1:7" x14ac:dyDescent="0.25">
      <c r="A7" s="30"/>
      <c r="B7" s="14" t="s">
        <v>301</v>
      </c>
      <c r="C7" s="25">
        <v>51</v>
      </c>
      <c r="D7" s="28">
        <f>C6</f>
        <v>80</v>
      </c>
      <c r="E7" s="26">
        <f>C7/D7</f>
        <v>0.63749999999999996</v>
      </c>
      <c r="F7" s="14" t="s">
        <v>302</v>
      </c>
      <c r="G7" s="23"/>
    </row>
    <row r="8" spans="1:7" x14ac:dyDescent="0.25">
      <c r="A8" s="30"/>
      <c r="B8" s="14" t="s">
        <v>303</v>
      </c>
      <c r="C8" s="25">
        <v>3</v>
      </c>
      <c r="D8" s="28">
        <f>C6</f>
        <v>80</v>
      </c>
      <c r="E8" s="26">
        <f>C8/D8</f>
        <v>3.7499999999999999E-2</v>
      </c>
      <c r="F8" s="14" t="s">
        <v>304</v>
      </c>
      <c r="G8" s="23"/>
    </row>
    <row r="9" spans="1:7" x14ac:dyDescent="0.25">
      <c r="A9" s="30"/>
      <c r="B9" s="14" t="s">
        <v>305</v>
      </c>
      <c r="C9" s="25">
        <v>50</v>
      </c>
      <c r="D9" s="28"/>
      <c r="E9" s="24"/>
      <c r="F9" s="14" t="s">
        <v>306</v>
      </c>
      <c r="G9" s="23"/>
    </row>
    <row r="10" spans="1:7" x14ac:dyDescent="0.25">
      <c r="A10" s="30"/>
      <c r="B10" s="14" t="s">
        <v>307</v>
      </c>
      <c r="C10" s="25">
        <v>32</v>
      </c>
      <c r="D10" s="28"/>
      <c r="E10" s="24"/>
      <c r="F10" s="14" t="s">
        <v>308</v>
      </c>
      <c r="G10" s="23"/>
    </row>
    <row r="11" spans="1:7" x14ac:dyDescent="0.25">
      <c r="A11" s="30"/>
      <c r="B11" s="14" t="s">
        <v>309</v>
      </c>
      <c r="C11" s="25">
        <v>20</v>
      </c>
      <c r="D11" s="28"/>
      <c r="E11" s="24"/>
      <c r="F11" s="14"/>
      <c r="G11" s="23"/>
    </row>
    <row r="12" spans="1:7" x14ac:dyDescent="0.25">
      <c r="A12" s="30"/>
      <c r="B12" s="14" t="s">
        <v>310</v>
      </c>
      <c r="C12" s="25">
        <v>6</v>
      </c>
      <c r="D12" s="28"/>
      <c r="E12" s="24"/>
      <c r="F12" s="14"/>
      <c r="G12" s="23"/>
    </row>
    <row r="13" spans="1:7" x14ac:dyDescent="0.25">
      <c r="A13" s="30" t="s">
        <v>311</v>
      </c>
      <c r="B13" s="14" t="s">
        <v>312</v>
      </c>
      <c r="C13" s="25">
        <v>21</v>
      </c>
      <c r="D13" s="28"/>
      <c r="E13" s="24"/>
      <c r="F13" s="14" t="s">
        <v>313</v>
      </c>
      <c r="G13" s="23" t="s">
        <v>314</v>
      </c>
    </row>
    <row r="14" spans="1:7" x14ac:dyDescent="0.25">
      <c r="A14" s="30"/>
      <c r="B14" s="14" t="s">
        <v>315</v>
      </c>
      <c r="C14" s="25">
        <v>12</v>
      </c>
      <c r="D14" s="28">
        <f>C13</f>
        <v>21</v>
      </c>
      <c r="E14" s="26">
        <f>C14/D14</f>
        <v>0.5714285714285714</v>
      </c>
      <c r="F14" s="14"/>
      <c r="G14" s="23"/>
    </row>
    <row r="15" spans="1:7" x14ac:dyDescent="0.25">
      <c r="A15" s="30"/>
      <c r="B15" s="14" t="s">
        <v>316</v>
      </c>
      <c r="C15" s="25">
        <v>8</v>
      </c>
      <c r="D15" s="28">
        <f>C13</f>
        <v>21</v>
      </c>
      <c r="E15" s="26">
        <f>C15/D15</f>
        <v>0.38095238095238093</v>
      </c>
      <c r="F15" s="14"/>
      <c r="G15" s="23"/>
    </row>
    <row r="16" spans="1:7" x14ac:dyDescent="0.25">
      <c r="A16" s="30"/>
      <c r="B16" s="14" t="s">
        <v>317</v>
      </c>
      <c r="C16" s="25">
        <v>4</v>
      </c>
      <c r="D16" s="28">
        <f>C13</f>
        <v>21</v>
      </c>
      <c r="E16" s="26">
        <f>C16/D16</f>
        <v>0.19047619047619047</v>
      </c>
      <c r="F16" s="14"/>
      <c r="G16" s="23"/>
    </row>
    <row r="17" spans="1:7" x14ac:dyDescent="0.25">
      <c r="A17" s="30" t="s">
        <v>318</v>
      </c>
      <c r="B17" s="14" t="s">
        <v>319</v>
      </c>
      <c r="C17" s="25">
        <v>30</v>
      </c>
      <c r="D17" s="28"/>
      <c r="E17" s="24"/>
      <c r="F17" s="14" t="s">
        <v>320</v>
      </c>
      <c r="G17" s="23" t="s">
        <v>321</v>
      </c>
    </row>
    <row r="18" spans="1:7" ht="25.5" x14ac:dyDescent="0.25">
      <c r="A18" s="30"/>
      <c r="B18" s="14" t="s">
        <v>322</v>
      </c>
      <c r="C18" s="25">
        <v>20</v>
      </c>
      <c r="D18" s="28">
        <f>C17</f>
        <v>30</v>
      </c>
      <c r="E18" s="26">
        <f>C18/D18</f>
        <v>0.66666666666666663</v>
      </c>
      <c r="F18" s="14" t="s">
        <v>323</v>
      </c>
      <c r="G18" s="23"/>
    </row>
    <row r="19" spans="1:7" x14ac:dyDescent="0.25">
      <c r="A19" s="30"/>
      <c r="B19" s="14" t="s">
        <v>324</v>
      </c>
      <c r="C19" s="25">
        <v>10</v>
      </c>
      <c r="D19" s="28">
        <f>C17</f>
        <v>30</v>
      </c>
      <c r="E19" s="26">
        <f>C19/D19</f>
        <v>0.33333333333333331</v>
      </c>
      <c r="F19" s="14"/>
      <c r="G19" s="23"/>
    </row>
    <row r="20" spans="1:7" x14ac:dyDescent="0.25">
      <c r="A20" s="30" t="s">
        <v>325</v>
      </c>
      <c r="B20" s="14" t="s">
        <v>326</v>
      </c>
      <c r="C20" s="25">
        <v>44255</v>
      </c>
      <c r="D20" s="28"/>
      <c r="E20" s="24"/>
      <c r="F20" s="14" t="s">
        <v>297</v>
      </c>
      <c r="G20" s="23" t="s">
        <v>327</v>
      </c>
    </row>
    <row r="21" spans="1:7" ht="25.5" x14ac:dyDescent="0.25">
      <c r="A21" s="30"/>
      <c r="B21" s="14" t="s">
        <v>328</v>
      </c>
      <c r="C21" s="25">
        <v>41</v>
      </c>
      <c r="D21" s="28">
        <f>C20</f>
        <v>44255</v>
      </c>
      <c r="E21" s="26">
        <f>C21/D21</f>
        <v>9.2644898881482317E-4</v>
      </c>
      <c r="F21" s="14" t="s">
        <v>329</v>
      </c>
      <c r="G21" s="23"/>
    </row>
    <row r="22" spans="1:7" x14ac:dyDescent="0.25">
      <c r="A22" s="30"/>
      <c r="B22" s="14" t="s">
        <v>330</v>
      </c>
      <c r="C22" s="25">
        <v>8</v>
      </c>
      <c r="D22" s="28">
        <f>C21</f>
        <v>41</v>
      </c>
      <c r="E22" s="26">
        <f>C22/D22</f>
        <v>0.1951219512195122</v>
      </c>
      <c r="F22" s="14" t="s">
        <v>331</v>
      </c>
      <c r="G22" s="23"/>
    </row>
    <row r="23" spans="1:7" x14ac:dyDescent="0.25">
      <c r="A23" s="30"/>
      <c r="B23" s="14" t="s">
        <v>332</v>
      </c>
      <c r="C23" s="25">
        <v>0</v>
      </c>
      <c r="D23" s="28"/>
      <c r="E23" s="24"/>
      <c r="F23" s="14" t="s">
        <v>333</v>
      </c>
      <c r="G23" s="23"/>
    </row>
    <row r="24" spans="1:7" ht="25.5" x14ac:dyDescent="0.25">
      <c r="A24" s="30" t="s">
        <v>334</v>
      </c>
      <c r="B24" s="14" t="s">
        <v>335</v>
      </c>
      <c r="C24" s="41">
        <v>1.8</v>
      </c>
      <c r="D24" s="28"/>
      <c r="E24" s="24"/>
      <c r="F24" s="14" t="s">
        <v>336</v>
      </c>
      <c r="G24" s="23" t="s">
        <v>236</v>
      </c>
    </row>
    <row r="25" spans="1:7" x14ac:dyDescent="0.25">
      <c r="A25" s="30"/>
      <c r="B25" s="14" t="s">
        <v>337</v>
      </c>
      <c r="C25" s="41">
        <v>7.3</v>
      </c>
      <c r="D25" s="28"/>
      <c r="E25" s="24"/>
      <c r="F25" s="14"/>
      <c r="G25" s="23"/>
    </row>
    <row r="26" spans="1:7" x14ac:dyDescent="0.25">
      <c r="A26" s="30"/>
      <c r="B26" s="14" t="s">
        <v>338</v>
      </c>
      <c r="C26" s="24"/>
      <c r="D26" s="28"/>
      <c r="E26" s="32">
        <v>1.4999999999999999E-2</v>
      </c>
      <c r="F26" s="14" t="s">
        <v>339</v>
      </c>
      <c r="G26" s="23"/>
    </row>
    <row r="27" spans="1:7" x14ac:dyDescent="0.25">
      <c r="A27" s="30"/>
      <c r="B27" s="14" t="s">
        <v>340</v>
      </c>
      <c r="C27" s="24"/>
      <c r="D27" s="28"/>
      <c r="E27" s="32">
        <v>3.4000000000000002E-2</v>
      </c>
      <c r="F27" s="14" t="s">
        <v>339</v>
      </c>
      <c r="G27" s="23"/>
    </row>
    <row r="28" spans="1:7" x14ac:dyDescent="0.25">
      <c r="A28" s="30"/>
      <c r="B28" s="14" t="s">
        <v>341</v>
      </c>
      <c r="C28" s="24"/>
      <c r="D28" s="28"/>
      <c r="E28" s="32">
        <v>2.1000000000000001E-2</v>
      </c>
      <c r="F28" s="14" t="s">
        <v>339</v>
      </c>
      <c r="G28" s="23"/>
    </row>
    <row r="29" spans="1:7" x14ac:dyDescent="0.25">
      <c r="A29" s="30"/>
      <c r="B29" s="14" t="s">
        <v>342</v>
      </c>
      <c r="C29" s="24"/>
      <c r="D29" s="28"/>
      <c r="E29" s="32">
        <v>1.7000000000000001E-2</v>
      </c>
      <c r="F29" s="14" t="s">
        <v>339</v>
      </c>
      <c r="G29" s="23"/>
    </row>
    <row r="30" spans="1:7" x14ac:dyDescent="0.25">
      <c r="A30" s="30" t="s">
        <v>343</v>
      </c>
      <c r="B30" s="14" t="s">
        <v>344</v>
      </c>
      <c r="C30" s="24"/>
      <c r="D30" s="28"/>
      <c r="E30" s="32">
        <v>1.2999999999999999E-2</v>
      </c>
      <c r="F30" s="14" t="s">
        <v>339</v>
      </c>
      <c r="G30" s="23" t="s">
        <v>345</v>
      </c>
    </row>
    <row r="31" spans="1:7" x14ac:dyDescent="0.25">
      <c r="A31" s="30"/>
      <c r="B31" s="14" t="s">
        <v>346</v>
      </c>
      <c r="C31" s="24"/>
      <c r="D31" s="28"/>
      <c r="E31" s="32">
        <v>0.84</v>
      </c>
      <c r="F31" s="14" t="s">
        <v>347</v>
      </c>
      <c r="G31" s="23"/>
    </row>
    <row r="32" spans="1:7" x14ac:dyDescent="0.25">
      <c r="A32" s="30"/>
      <c r="B32" s="14" t="s">
        <v>348</v>
      </c>
      <c r="C32" s="24"/>
      <c r="D32" s="28"/>
      <c r="E32" s="32">
        <v>0.62</v>
      </c>
      <c r="F32" s="14"/>
      <c r="G32" s="23"/>
    </row>
    <row r="33" spans="1:7" x14ac:dyDescent="0.25">
      <c r="A33" s="30"/>
      <c r="B33" s="14" t="s">
        <v>349</v>
      </c>
      <c r="C33" s="24"/>
      <c r="D33" s="28"/>
      <c r="E33" s="32">
        <v>0.17</v>
      </c>
      <c r="F33" s="14"/>
      <c r="G33" s="23"/>
    </row>
    <row r="34" spans="1:7" x14ac:dyDescent="0.25">
      <c r="A34" s="30"/>
      <c r="B34" s="14" t="s">
        <v>350</v>
      </c>
      <c r="C34" s="24"/>
      <c r="D34" s="28"/>
      <c r="E34" s="32">
        <v>0.85</v>
      </c>
      <c r="F34" s="14"/>
      <c r="G34" s="23"/>
    </row>
    <row r="35" spans="1:7" x14ac:dyDescent="0.25">
      <c r="A35" s="30"/>
      <c r="B35" s="14" t="s">
        <v>351</v>
      </c>
      <c r="C35" s="24"/>
      <c r="D35" s="28"/>
      <c r="E35" s="32">
        <v>0.69</v>
      </c>
      <c r="F35" s="14"/>
      <c r="G35" s="23"/>
    </row>
    <row r="36" spans="1:7" x14ac:dyDescent="0.25">
      <c r="A36" s="30"/>
      <c r="B36" s="14" t="s">
        <v>225</v>
      </c>
      <c r="C36" s="24"/>
      <c r="D36" s="28"/>
      <c r="E36" s="32">
        <v>0.28000000000000003</v>
      </c>
      <c r="F36" s="14"/>
      <c r="G36" s="23"/>
    </row>
    <row r="37" spans="1:7" x14ac:dyDescent="0.25">
      <c r="A37" s="30"/>
      <c r="B37" s="14" t="s">
        <v>229</v>
      </c>
      <c r="C37" s="24"/>
      <c r="D37" s="28"/>
      <c r="E37" s="32">
        <v>0.11</v>
      </c>
      <c r="F37" s="14"/>
      <c r="G37" s="23"/>
    </row>
    <row r="38" spans="1:7" x14ac:dyDescent="0.25">
      <c r="A38" s="30" t="s">
        <v>352</v>
      </c>
      <c r="B38" s="14" t="s">
        <v>353</v>
      </c>
      <c r="C38" s="25">
        <v>124</v>
      </c>
      <c r="D38" s="28"/>
      <c r="E38" s="24"/>
      <c r="F38" s="14" t="s">
        <v>354</v>
      </c>
      <c r="G38" s="23" t="s">
        <v>355</v>
      </c>
    </row>
    <row r="39" spans="1:7" ht="25.5" x14ac:dyDescent="0.25">
      <c r="A39" s="30"/>
      <c r="B39" s="14" t="s">
        <v>356</v>
      </c>
      <c r="C39" s="25">
        <v>7</v>
      </c>
      <c r="D39" s="28">
        <f>C38</f>
        <v>124</v>
      </c>
      <c r="E39" s="26">
        <f t="shared" ref="E39:E44" si="0">C39/D39</f>
        <v>5.6451612903225805E-2</v>
      </c>
      <c r="F39" s="14" t="s">
        <v>357</v>
      </c>
      <c r="G39" s="23"/>
    </row>
    <row r="40" spans="1:7" x14ac:dyDescent="0.25">
      <c r="A40" s="30"/>
      <c r="B40" s="14" t="s">
        <v>358</v>
      </c>
      <c r="C40" s="25">
        <v>5</v>
      </c>
      <c r="D40" s="28">
        <f>C38</f>
        <v>124</v>
      </c>
      <c r="E40" s="26">
        <f t="shared" si="0"/>
        <v>4.0322580645161289E-2</v>
      </c>
      <c r="F40" s="14"/>
      <c r="G40" s="23"/>
    </row>
    <row r="41" spans="1:7" x14ac:dyDescent="0.25">
      <c r="A41" s="30"/>
      <c r="B41" s="14" t="s">
        <v>359</v>
      </c>
      <c r="C41" s="25">
        <v>6</v>
      </c>
      <c r="D41" s="28">
        <f>C39+C40</f>
        <v>12</v>
      </c>
      <c r="E41" s="26">
        <f t="shared" si="0"/>
        <v>0.5</v>
      </c>
      <c r="F41" s="14" t="s">
        <v>360</v>
      </c>
      <c r="G41" s="23"/>
    </row>
    <row r="42" spans="1:7" x14ac:dyDescent="0.25">
      <c r="A42" s="30"/>
      <c r="B42" s="14" t="s">
        <v>361</v>
      </c>
      <c r="C42" s="25">
        <v>2</v>
      </c>
      <c r="D42" s="28">
        <f>C39+C40</f>
        <v>12</v>
      </c>
      <c r="E42" s="26">
        <f t="shared" si="0"/>
        <v>0.16666666666666666</v>
      </c>
      <c r="F42" s="14"/>
      <c r="G42" s="23"/>
    </row>
    <row r="43" spans="1:7" x14ac:dyDescent="0.25">
      <c r="A43" s="30"/>
      <c r="B43" s="14" t="s">
        <v>362</v>
      </c>
      <c r="C43" s="25">
        <v>1</v>
      </c>
      <c r="D43" s="28">
        <f>C39+C40</f>
        <v>12</v>
      </c>
      <c r="E43" s="26">
        <f t="shared" si="0"/>
        <v>8.3333333333333329E-2</v>
      </c>
      <c r="F43" s="14" t="s">
        <v>363</v>
      </c>
      <c r="G43" s="23"/>
    </row>
    <row r="44" spans="1:7" x14ac:dyDescent="0.25">
      <c r="A44" s="30"/>
      <c r="B44" s="14" t="s">
        <v>364</v>
      </c>
      <c r="C44" s="25">
        <v>3</v>
      </c>
      <c r="D44" s="28">
        <f>C39+C40</f>
        <v>12</v>
      </c>
      <c r="E44" s="26">
        <f t="shared" si="0"/>
        <v>0.25</v>
      </c>
      <c r="F44" s="14"/>
      <c r="G44" s="23"/>
    </row>
    <row r="45" spans="1:7" x14ac:dyDescent="0.25">
      <c r="A45" s="30"/>
      <c r="B45" s="14" t="s">
        <v>365</v>
      </c>
      <c r="C45" s="25">
        <v>5</v>
      </c>
      <c r="D45" s="28"/>
      <c r="E45" s="24"/>
      <c r="F45" s="14"/>
      <c r="G45" s="23"/>
    </row>
    <row r="46" spans="1:7" x14ac:dyDescent="0.25">
      <c r="A46" s="30" t="s">
        <v>366</v>
      </c>
      <c r="B46" s="14" t="s">
        <v>367</v>
      </c>
      <c r="C46" s="25">
        <v>1934</v>
      </c>
      <c r="D46" s="28"/>
      <c r="E46" s="24"/>
      <c r="F46" s="14" t="s">
        <v>368</v>
      </c>
      <c r="G46" s="23" t="s">
        <v>369</v>
      </c>
    </row>
    <row r="47" spans="1:7" ht="25.5" x14ac:dyDescent="0.25">
      <c r="A47" s="30"/>
      <c r="B47" s="14" t="s">
        <v>370</v>
      </c>
      <c r="C47" s="28">
        <f>ROUND(C46*E47,0)</f>
        <v>178</v>
      </c>
      <c r="D47" s="28">
        <f>C46</f>
        <v>1934</v>
      </c>
      <c r="E47" s="32">
        <v>9.1999999999999998E-2</v>
      </c>
      <c r="F47" s="14" t="s">
        <v>371</v>
      </c>
      <c r="G47" s="23"/>
    </row>
    <row r="49" spans="1:7" x14ac:dyDescent="0.25">
      <c r="A49" s="7" t="s">
        <v>372</v>
      </c>
      <c r="B49" s="8"/>
      <c r="C49" s="8"/>
      <c r="D49" s="8"/>
      <c r="E49" s="8"/>
      <c r="F49" s="8"/>
      <c r="G49" s="8"/>
    </row>
    <row r="50" spans="1:7" ht="31.5" customHeight="1" x14ac:dyDescent="0.25">
      <c r="A50" s="13"/>
      <c r="B50" s="13" t="s">
        <v>373</v>
      </c>
      <c r="C50" s="13"/>
      <c r="D50" s="13"/>
      <c r="E50" s="13" t="s">
        <v>374</v>
      </c>
      <c r="F50" s="13" t="s">
        <v>375</v>
      </c>
      <c r="G50" s="13"/>
    </row>
    <row r="51" spans="1:7" ht="25.5" x14ac:dyDescent="0.25">
      <c r="A51" s="24"/>
      <c r="B51" s="24" t="s">
        <v>376</v>
      </c>
      <c r="C51" s="24"/>
      <c r="D51" s="24"/>
      <c r="E51" s="35">
        <f>E32/E33</f>
        <v>3.6470588235294117</v>
      </c>
      <c r="F51" s="14" t="s">
        <v>377</v>
      </c>
      <c r="G51" s="24"/>
    </row>
    <row r="52" spans="1:7" ht="25.5" x14ac:dyDescent="0.25">
      <c r="A52" s="24"/>
      <c r="B52" s="24" t="s">
        <v>378</v>
      </c>
      <c r="C52" s="24"/>
      <c r="D52" s="24"/>
      <c r="E52" s="35">
        <f>E34/E35</f>
        <v>1.2318840579710146</v>
      </c>
      <c r="F52" s="14" t="s">
        <v>379</v>
      </c>
      <c r="G52" s="24"/>
    </row>
    <row r="53" spans="1:7" ht="25.5" x14ac:dyDescent="0.25">
      <c r="A53" s="24"/>
      <c r="B53" s="24" t="s">
        <v>380</v>
      </c>
      <c r="C53" s="24"/>
      <c r="D53" s="24"/>
      <c r="E53" s="35">
        <f>E36/E37</f>
        <v>2.5454545454545459</v>
      </c>
      <c r="F53" s="14" t="s">
        <v>381</v>
      </c>
      <c r="G53" s="24"/>
    </row>
    <row r="55" spans="1:7" x14ac:dyDescent="0.25">
      <c r="A55" s="7" t="s">
        <v>382</v>
      </c>
      <c r="B55" s="8"/>
      <c r="C55" s="8"/>
      <c r="D55" s="8"/>
      <c r="E55" s="8"/>
      <c r="F55" s="8"/>
      <c r="G55" s="8"/>
    </row>
    <row r="56" spans="1:7" ht="43.5" customHeight="1" x14ac:dyDescent="0.25">
      <c r="A56" s="30" t="s">
        <v>383</v>
      </c>
      <c r="B56" s="3" t="s">
        <v>384</v>
      </c>
      <c r="C56" s="3"/>
      <c r="D56" s="3"/>
      <c r="E56" s="3"/>
      <c r="F56" s="3"/>
    </row>
    <row r="57" spans="1:7" ht="43.5" customHeight="1" x14ac:dyDescent="0.25">
      <c r="A57" s="30" t="s">
        <v>385</v>
      </c>
      <c r="B57" s="3" t="s">
        <v>386</v>
      </c>
      <c r="C57" s="3"/>
      <c r="D57" s="3"/>
      <c r="E57" s="3"/>
      <c r="F57" s="3"/>
    </row>
    <row r="58" spans="1:7" ht="43.5" customHeight="1" x14ac:dyDescent="0.25">
      <c r="A58" s="30" t="s">
        <v>387</v>
      </c>
      <c r="B58" s="3" t="s">
        <v>388</v>
      </c>
      <c r="C58" s="3"/>
      <c r="D58" s="3"/>
      <c r="E58" s="3"/>
      <c r="F58" s="3"/>
    </row>
    <row r="59" spans="1:7" ht="43.5" customHeight="1" x14ac:dyDescent="0.25">
      <c r="A59" s="30" t="s">
        <v>389</v>
      </c>
      <c r="B59" s="3" t="s">
        <v>390</v>
      </c>
      <c r="C59" s="3"/>
      <c r="D59" s="3"/>
      <c r="E59" s="3"/>
      <c r="F59" s="3"/>
    </row>
  </sheetData>
  <mergeCells count="4">
    <mergeCell ref="B56:F56"/>
    <mergeCell ref="B57:F57"/>
    <mergeCell ref="B58:F58"/>
    <mergeCell ref="B59:F5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9" customWidth="1"/>
    <col min="2" max="2" width="50" customWidth="1"/>
    <col min="3" max="3" width="46" customWidth="1"/>
    <col min="4" max="4" width="26" customWidth="1"/>
    <col min="5" max="5" width="70" customWidth="1"/>
    <col min="6" max="6" width="46" customWidth="1"/>
  </cols>
  <sheetData>
    <row r="1" spans="1:6" ht="18" x14ac:dyDescent="0.25">
      <c r="A1" s="5" t="s">
        <v>391</v>
      </c>
    </row>
    <row r="2" spans="1:6" x14ac:dyDescent="0.25">
      <c r="A2" s="6" t="s">
        <v>392</v>
      </c>
    </row>
    <row r="4" spans="1:6" ht="31.5" customHeight="1" x14ac:dyDescent="0.25">
      <c r="A4" s="13" t="s">
        <v>204</v>
      </c>
      <c r="B4" s="13" t="s">
        <v>393</v>
      </c>
      <c r="C4" s="13" t="s">
        <v>394</v>
      </c>
      <c r="D4" s="13" t="s">
        <v>90</v>
      </c>
      <c r="E4" s="13" t="s">
        <v>395</v>
      </c>
      <c r="F4" s="13" t="s">
        <v>396</v>
      </c>
    </row>
    <row r="5" spans="1:6" ht="25.5" x14ac:dyDescent="0.25">
      <c r="A5" s="42" t="s">
        <v>259</v>
      </c>
      <c r="B5" s="14" t="s">
        <v>397</v>
      </c>
      <c r="C5" s="14" t="s">
        <v>398</v>
      </c>
      <c r="D5" s="14" t="s">
        <v>399</v>
      </c>
      <c r="E5" s="14" t="s">
        <v>400</v>
      </c>
      <c r="F5" s="14" t="s">
        <v>401</v>
      </c>
    </row>
    <row r="6" spans="1:6" x14ac:dyDescent="0.25">
      <c r="A6" s="42" t="s">
        <v>169</v>
      </c>
      <c r="B6" s="14" t="s">
        <v>402</v>
      </c>
      <c r="C6" s="14" t="s">
        <v>403</v>
      </c>
      <c r="D6" s="14" t="s">
        <v>399</v>
      </c>
      <c r="E6" s="14" t="s">
        <v>404</v>
      </c>
      <c r="F6" s="14" t="s">
        <v>405</v>
      </c>
    </row>
    <row r="7" spans="1:6" ht="25.5" x14ac:dyDescent="0.25">
      <c r="A7" s="42" t="s">
        <v>267</v>
      </c>
      <c r="B7" s="14" t="s">
        <v>406</v>
      </c>
      <c r="C7" s="14" t="s">
        <v>407</v>
      </c>
      <c r="D7" s="14" t="s">
        <v>408</v>
      </c>
      <c r="E7" s="14" t="s">
        <v>409</v>
      </c>
      <c r="F7" s="14" t="s">
        <v>410</v>
      </c>
    </row>
    <row r="8" spans="1:6" ht="25.5" x14ac:dyDescent="0.25">
      <c r="A8" s="42" t="s">
        <v>411</v>
      </c>
      <c r="B8" s="14" t="s">
        <v>412</v>
      </c>
      <c r="C8" s="14" t="s">
        <v>413</v>
      </c>
      <c r="D8" s="14" t="s">
        <v>145</v>
      </c>
      <c r="E8" s="14" t="s">
        <v>414</v>
      </c>
      <c r="F8" s="14" t="s">
        <v>415</v>
      </c>
    </row>
    <row r="9" spans="1:6" ht="25.5" x14ac:dyDescent="0.25">
      <c r="A9" s="42" t="s">
        <v>416</v>
      </c>
      <c r="B9" s="14" t="s">
        <v>417</v>
      </c>
      <c r="C9" s="14" t="s">
        <v>418</v>
      </c>
      <c r="D9" s="14" t="s">
        <v>145</v>
      </c>
      <c r="E9" s="14" t="s">
        <v>419</v>
      </c>
      <c r="F9" s="14" t="s">
        <v>420</v>
      </c>
    </row>
    <row r="10" spans="1:6" ht="25.5" x14ac:dyDescent="0.25">
      <c r="A10" s="42" t="s">
        <v>112</v>
      </c>
      <c r="B10" s="14" t="s">
        <v>421</v>
      </c>
      <c r="C10" s="14" t="s">
        <v>422</v>
      </c>
      <c r="D10" s="14" t="s">
        <v>423</v>
      </c>
      <c r="E10" s="14" t="s">
        <v>424</v>
      </c>
      <c r="F10" s="14" t="s">
        <v>425</v>
      </c>
    </row>
    <row r="11" spans="1:6" ht="25.5" x14ac:dyDescent="0.25">
      <c r="A11" s="42" t="s">
        <v>129</v>
      </c>
      <c r="B11" s="14" t="s">
        <v>426</v>
      </c>
      <c r="C11" s="14" t="s">
        <v>427</v>
      </c>
      <c r="D11" s="14" t="s">
        <v>145</v>
      </c>
      <c r="E11" s="14" t="s">
        <v>428</v>
      </c>
      <c r="F11" s="14" t="s">
        <v>420</v>
      </c>
    </row>
    <row r="12" spans="1:6" ht="25.5" x14ac:dyDescent="0.25">
      <c r="A12" s="42" t="s">
        <v>429</v>
      </c>
      <c r="B12" s="14" t="s">
        <v>430</v>
      </c>
      <c r="C12" s="14" t="s">
        <v>431</v>
      </c>
      <c r="D12" s="14" t="s">
        <v>145</v>
      </c>
      <c r="E12" s="14" t="s">
        <v>432</v>
      </c>
      <c r="F12" s="14" t="s">
        <v>433</v>
      </c>
    </row>
    <row r="13" spans="1:6" ht="25.5" x14ac:dyDescent="0.25">
      <c r="A13" s="42" t="s">
        <v>137</v>
      </c>
      <c r="B13" s="14" t="s">
        <v>434</v>
      </c>
      <c r="C13" s="14" t="s">
        <v>435</v>
      </c>
      <c r="D13" s="14" t="s">
        <v>145</v>
      </c>
      <c r="E13" s="14" t="s">
        <v>436</v>
      </c>
      <c r="F13" s="14" t="s">
        <v>437</v>
      </c>
    </row>
    <row r="14" spans="1:6" ht="25.5" x14ac:dyDescent="0.25">
      <c r="A14" s="42" t="s">
        <v>144</v>
      </c>
      <c r="B14" s="14" t="s">
        <v>438</v>
      </c>
      <c r="C14" s="14" t="s">
        <v>439</v>
      </c>
      <c r="D14" s="14" t="s">
        <v>145</v>
      </c>
      <c r="E14" s="14" t="s">
        <v>440</v>
      </c>
      <c r="F14" s="14" t="s">
        <v>441</v>
      </c>
    </row>
    <row r="15" spans="1:6" ht="25.5" x14ac:dyDescent="0.25">
      <c r="A15" s="42" t="s">
        <v>207</v>
      </c>
      <c r="B15" s="14" t="s">
        <v>442</v>
      </c>
      <c r="C15" s="14" t="s">
        <v>443</v>
      </c>
      <c r="D15" s="14" t="s">
        <v>444</v>
      </c>
      <c r="E15" s="14" t="s">
        <v>445</v>
      </c>
      <c r="F15" s="14" t="s">
        <v>446</v>
      </c>
    </row>
    <row r="16" spans="1:6" ht="25.5" x14ac:dyDescent="0.25">
      <c r="A16" s="42" t="s">
        <v>447</v>
      </c>
      <c r="B16" s="14" t="s">
        <v>448</v>
      </c>
      <c r="C16" s="14" t="s">
        <v>449</v>
      </c>
      <c r="D16" s="14" t="s">
        <v>399</v>
      </c>
      <c r="E16" s="14" t="s">
        <v>450</v>
      </c>
      <c r="F16" s="14" t="s">
        <v>451</v>
      </c>
    </row>
    <row r="17" spans="1:6" ht="25.5" x14ac:dyDescent="0.25">
      <c r="A17" s="42" t="s">
        <v>215</v>
      </c>
      <c r="B17" s="14" t="s">
        <v>452</v>
      </c>
      <c r="C17" s="14" t="s">
        <v>453</v>
      </c>
      <c r="D17" s="14" t="s">
        <v>454</v>
      </c>
      <c r="E17" s="14" t="s">
        <v>455</v>
      </c>
      <c r="F17" s="14" t="s">
        <v>456</v>
      </c>
    </row>
    <row r="18" spans="1:6" ht="25.5" x14ac:dyDescent="0.25">
      <c r="A18" s="42" t="s">
        <v>248</v>
      </c>
      <c r="B18" s="14" t="s">
        <v>457</v>
      </c>
      <c r="C18" s="14" t="s">
        <v>458</v>
      </c>
      <c r="D18" s="14" t="s">
        <v>459</v>
      </c>
      <c r="E18" s="14" t="s">
        <v>460</v>
      </c>
      <c r="F18" s="14" t="s">
        <v>461</v>
      </c>
    </row>
    <row r="19" spans="1:6" ht="25.5" x14ac:dyDescent="0.25">
      <c r="A19" s="42" t="s">
        <v>236</v>
      </c>
      <c r="B19" s="14" t="s">
        <v>462</v>
      </c>
      <c r="C19" s="14" t="s">
        <v>463</v>
      </c>
      <c r="D19" s="14" t="s">
        <v>464</v>
      </c>
      <c r="E19" s="14" t="s">
        <v>465</v>
      </c>
      <c r="F19" s="14" t="s">
        <v>466</v>
      </c>
    </row>
    <row r="20" spans="1:6" ht="25.5" x14ac:dyDescent="0.25">
      <c r="A20" s="42" t="s">
        <v>298</v>
      </c>
      <c r="B20" s="14" t="s">
        <v>467</v>
      </c>
      <c r="C20" s="14" t="s">
        <v>468</v>
      </c>
      <c r="D20" s="14" t="s">
        <v>464</v>
      </c>
      <c r="E20" s="14" t="s">
        <v>469</v>
      </c>
      <c r="F20" s="14" t="s">
        <v>470</v>
      </c>
    </row>
    <row r="21" spans="1:6" ht="25.5" x14ac:dyDescent="0.25">
      <c r="A21" s="42" t="s">
        <v>314</v>
      </c>
      <c r="B21" s="14" t="s">
        <v>471</v>
      </c>
      <c r="C21" s="14" t="s">
        <v>472</v>
      </c>
      <c r="D21" s="14" t="s">
        <v>473</v>
      </c>
      <c r="E21" s="14" t="s">
        <v>474</v>
      </c>
      <c r="F21" s="14" t="s">
        <v>475</v>
      </c>
    </row>
    <row r="22" spans="1:6" ht="25.5" x14ac:dyDescent="0.25">
      <c r="A22" s="42" t="s">
        <v>321</v>
      </c>
      <c r="B22" s="14" t="s">
        <v>476</v>
      </c>
      <c r="C22" s="14" t="s">
        <v>477</v>
      </c>
      <c r="D22" s="14" t="s">
        <v>464</v>
      </c>
      <c r="E22" s="14" t="s">
        <v>478</v>
      </c>
      <c r="F22" s="14" t="s">
        <v>479</v>
      </c>
    </row>
    <row r="23" spans="1:6" ht="25.5" x14ac:dyDescent="0.25">
      <c r="A23" s="42" t="s">
        <v>327</v>
      </c>
      <c r="B23" s="14" t="s">
        <v>480</v>
      </c>
      <c r="C23" s="14" t="s">
        <v>481</v>
      </c>
      <c r="D23" s="14" t="s">
        <v>464</v>
      </c>
      <c r="E23" s="14" t="s">
        <v>482</v>
      </c>
      <c r="F23" s="14" t="s">
        <v>483</v>
      </c>
    </row>
    <row r="24" spans="1:6" ht="25.5" x14ac:dyDescent="0.25">
      <c r="A24" s="42" t="s">
        <v>484</v>
      </c>
      <c r="B24" s="14" t="s">
        <v>485</v>
      </c>
      <c r="C24" s="14" t="s">
        <v>486</v>
      </c>
      <c r="D24" s="14" t="s">
        <v>487</v>
      </c>
      <c r="E24" s="14" t="s">
        <v>488</v>
      </c>
      <c r="F24" s="14" t="s">
        <v>489</v>
      </c>
    </row>
    <row r="25" spans="1:6" ht="25.5" x14ac:dyDescent="0.25">
      <c r="A25" s="42" t="s">
        <v>355</v>
      </c>
      <c r="B25" s="14" t="s">
        <v>490</v>
      </c>
      <c r="C25" s="14" t="s">
        <v>491</v>
      </c>
      <c r="D25" s="14" t="s">
        <v>492</v>
      </c>
      <c r="E25" s="14" t="s">
        <v>493</v>
      </c>
      <c r="F25" s="14" t="s">
        <v>494</v>
      </c>
    </row>
    <row r="26" spans="1:6" ht="25.5" x14ac:dyDescent="0.25">
      <c r="A26" s="42" t="s">
        <v>369</v>
      </c>
      <c r="B26" s="14" t="s">
        <v>495</v>
      </c>
      <c r="C26" s="14" t="s">
        <v>496</v>
      </c>
      <c r="D26" s="14" t="s">
        <v>492</v>
      </c>
      <c r="E26" s="14" t="s">
        <v>497</v>
      </c>
      <c r="F26" s="14" t="s">
        <v>498</v>
      </c>
    </row>
    <row r="27" spans="1:6" ht="25.5" x14ac:dyDescent="0.25">
      <c r="A27" s="42" t="s">
        <v>226</v>
      </c>
      <c r="B27" s="14" t="s">
        <v>499</v>
      </c>
      <c r="C27" s="14" t="s">
        <v>500</v>
      </c>
      <c r="D27" s="14" t="s">
        <v>408</v>
      </c>
      <c r="E27" s="14" t="s">
        <v>501</v>
      </c>
      <c r="F27" s="14" t="s">
        <v>502</v>
      </c>
    </row>
    <row r="29" spans="1:6" x14ac:dyDescent="0.25">
      <c r="A29" s="7" t="s">
        <v>503</v>
      </c>
      <c r="B29" s="8"/>
      <c r="C29" s="8"/>
      <c r="D29" s="8"/>
      <c r="E29" s="8"/>
      <c r="F29" s="8"/>
    </row>
    <row r="30" spans="1:6" ht="30" customHeight="1" x14ac:dyDescent="0.25">
      <c r="A30" s="4" t="s">
        <v>504</v>
      </c>
      <c r="B30" s="4"/>
      <c r="C30" s="4"/>
      <c r="D30" s="4"/>
      <c r="E30" s="4"/>
      <c r="F30" s="4"/>
    </row>
    <row r="31" spans="1:6" ht="30" customHeight="1" x14ac:dyDescent="0.25">
      <c r="A31" s="4" t="s">
        <v>505</v>
      </c>
      <c r="B31" s="4"/>
      <c r="C31" s="4"/>
      <c r="D31" s="4"/>
      <c r="E31" s="4"/>
      <c r="F31" s="4"/>
    </row>
    <row r="32" spans="1:6" ht="30" customHeight="1" x14ac:dyDescent="0.25">
      <c r="A32" s="4" t="s">
        <v>506</v>
      </c>
      <c r="B32" s="4"/>
      <c r="C32" s="4"/>
      <c r="D32" s="4"/>
      <c r="E32" s="4"/>
      <c r="F32" s="4"/>
    </row>
    <row r="33" spans="1:6" ht="30" customHeight="1" x14ac:dyDescent="0.25">
      <c r="A33" s="4" t="s">
        <v>507</v>
      </c>
      <c r="B33" s="4"/>
      <c r="C33" s="4"/>
      <c r="D33" s="4"/>
      <c r="E33" s="4"/>
      <c r="F33" s="4"/>
    </row>
    <row r="34" spans="1:6" ht="30" customHeight="1" x14ac:dyDescent="0.25">
      <c r="A34" s="4" t="s">
        <v>508</v>
      </c>
      <c r="B34" s="4"/>
      <c r="C34" s="4"/>
      <c r="D34" s="4"/>
      <c r="E34" s="4"/>
      <c r="F34" s="4"/>
    </row>
    <row r="35" spans="1:6" ht="30" customHeight="1" x14ac:dyDescent="0.25">
      <c r="A35" s="4" t="s">
        <v>509</v>
      </c>
      <c r="B35" s="4"/>
      <c r="C35" s="4"/>
      <c r="D35" s="4"/>
      <c r="E35" s="4"/>
      <c r="F35" s="4"/>
    </row>
  </sheetData>
  <mergeCells count="6">
    <mergeCell ref="A35:F35"/>
    <mergeCell ref="A30:F30"/>
    <mergeCell ref="A31:F31"/>
    <mergeCell ref="A32:F32"/>
    <mergeCell ref="A33:F33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Leading Causes</vt:lpstr>
      <vt:lpstr>Stress Evidence</vt:lpstr>
      <vt:lpstr>Attribution Calc</vt:lpstr>
      <vt:lpstr>Crash Estimates</vt:lpstr>
      <vt:lpstr>Crash Case 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Affreen Hussain</cp:lastModifiedBy>
  <cp:revision>1</cp:revision>
  <dcterms:created xsi:type="dcterms:W3CDTF">2026-10-10T22:55:37Z</dcterms:created>
  <dcterms:modified xsi:type="dcterms:W3CDTF">2026-10-10T23:00:30Z</dcterms:modified>
  <dc:language>en-US</dc:language>
</cp:coreProperties>
</file>
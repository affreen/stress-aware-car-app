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Work Breakdown" sheetId="3" state="visible" r:id="rId5"/>
    <sheet name="Labor Costs" sheetId="4" state="visible" r:id="rId6"/>
    <sheet name="Non-Labor Costs" sheetId="5" state="visible" r:id="rId7"/>
    <sheet name="Run Costs" sheetId="6" state="visible" r:id="rId8"/>
    <sheet name="CV Options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<sst xmlns="http://schemas.openxmlformats.org/spreadsheetml/2006/main" count="413" uniqueCount="300">
  <si>
    <t xml:space="preserve">Cost Estimate: Stress-Aware Driving App (remaining roadmap, Phases 1 to 3)</t>
  </si>
  <si>
    <t xml:space="preserve">Based on the AI PRD roadmap. Phase 0 (prototype) is already built and excluded. US dollars; hours and rates are assumptions you can edit.</t>
  </si>
  <si>
    <t xml:space="preserve">Colour legend</t>
  </si>
  <si>
    <t xml:space="preserve">Blue text = input</t>
  </si>
  <si>
    <t xml:space="preserve">Black text = formula</t>
  </si>
  <si>
    <t xml:space="preserve">Green text = pulled from another tab</t>
  </si>
  <si>
    <t xml:space="preserve">Yellow fill = key assumption to replace</t>
  </si>
  <si>
    <t xml:space="preserve">One-time build cost</t>
  </si>
  <si>
    <t xml:space="preserve">Cost item</t>
  </si>
  <si>
    <t xml:space="preserve">Lean</t>
  </si>
  <si>
    <t xml:space="preserve">Base</t>
  </si>
  <si>
    <t xml:space="preserve">Full</t>
  </si>
  <si>
    <t xml:space="preserve">Note</t>
  </si>
  <si>
    <t xml:space="preserve">Phase 1 Harden</t>
  </si>
  <si>
    <t xml:space="preserve">Labor plus non-labor.</t>
  </si>
  <si>
    <t xml:space="preserve">Phase 2 Validate</t>
  </si>
  <si>
    <t xml:space="preserve">Phase 3 Extend</t>
  </si>
  <si>
    <t xml:space="preserve">One-time subtotal</t>
  </si>
  <si>
    <t xml:space="preserve">Contingency</t>
  </si>
  <si>
    <t xml:space="preserve">Subtotal × contingency %.</t>
  </si>
  <si>
    <t xml:space="preserve">One-time total</t>
  </si>
  <si>
    <t xml:space="preserve">Running cost and first-year view</t>
  </si>
  <si>
    <t xml:space="preserve">Annual run cost</t>
  </si>
  <si>
    <t xml:space="preserve">Steady state after build; see Run Costs tab.</t>
  </si>
  <si>
    <t xml:space="preserve">Build plus first year of running</t>
  </si>
  <si>
    <t xml:space="preserve">One-time total + one year of run cost.</t>
  </si>
  <si>
    <t xml:space="preserve">Labor as share of one-time subtotal</t>
  </si>
  <si>
    <t xml:space="preserve">Shows how much of the estimate is people time.</t>
  </si>
  <si>
    <t xml:space="preserve">Maintenance as share of annual run cost</t>
  </si>
  <si>
    <t xml:space="preserve">Shows what actually drives running cost.</t>
  </si>
  <si>
    <t xml:space="preserve">Reading the numbers</t>
  </si>
  <si>
    <t xml:space="preserve">Not included in this estimate</t>
  </si>
  <si>
    <t xml:space="preserve">1. Real-vehicle use of any kind, ISO 26262 functional-safety validation, and regulatory approval (the PRD rules these out of the roadmap).</t>
  </si>
  <si>
    <t xml:space="preserve">2. Medical-device clearance or any diagnostic claim. The product flags distress only.</t>
  </si>
  <si>
    <t xml:space="preserve">3. Twilio carrier fees and US A2P registration costs for SMS; verify on Twilio's site.</t>
  </si>
  <si>
    <t xml:space="preserve">4. Production cloud deployment, security audits, insurance, legal counsel beyond the allowance, taxes and shipping.</t>
  </si>
  <si>
    <t xml:space="preserve">5. Phase 0 (prototype) costs, which are already incurred.</t>
  </si>
  <si>
    <t xml:space="preserve">Computer vision options (change in one-time total vs. plan)</t>
  </si>
  <si>
    <t xml:space="preserve">Option</t>
  </si>
  <si>
    <t xml:space="preserve">B. Train a custom deep-learning vision model</t>
  </si>
  <si>
    <t xml:space="preserve">Added cost; see CV Options tab.</t>
  </si>
  <si>
    <t xml:space="preserve">C. Camera only, net of AI-layer rework</t>
  </si>
  <si>
    <t xml:space="preserve">Negative = saving. Gross saving is larger; see CV Options tab.</t>
  </si>
  <si>
    <t xml:space="preserve">Option A (pre-trained face landmarks) is already in the plan and changes nothing.</t>
  </si>
  <si>
    <t xml:space="preserve">Assumptions</t>
  </si>
  <si>
    <t xml:space="preserve">Blue = input. Yellow = key assumption to replace with your own numbers. All amounts in US dollars, before tax and shipping.</t>
  </si>
  <si>
    <t xml:space="preserve">Scenario drivers</t>
  </si>
  <si>
    <t xml:space="preserve">Driver</t>
  </si>
  <si>
    <t xml:space="preserve">Lean (solo builder)</t>
  </si>
  <si>
    <t xml:space="preserve">Base (small team)</t>
  </si>
  <si>
    <t xml:space="preserve">Full (team + external validation)</t>
  </si>
  <si>
    <t xml:space="preserve">Basis</t>
  </si>
  <si>
    <t xml:space="preserve">Blended engineering rate ($/hour)</t>
  </si>
  <si>
    <t xml:space="preserve">ASSUMPTION. Not sourced; replace with your actual rate or contractor quotes.</t>
  </si>
  <si>
    <t xml:space="preserve">Overhead on engineering hours (PM, QA, docs)</t>
  </si>
  <si>
    <t xml:space="preserve">ASSUMPTION.</t>
  </si>
  <si>
    <t xml:space="preserve">Contingency on one-time subtotal</t>
  </si>
  <si>
    <t xml:space="preserve">ASSUMPTION. Higher for larger scope and more unknowns.</t>
  </si>
  <si>
    <t xml:space="preserve">Validation study participants</t>
  </si>
  <si>
    <t xml:space="preserve">ASSUMPTION. Small convenience samples; not a powered clinical study.</t>
  </si>
  <si>
    <t xml:space="preserve">Pilot users after build (run phase)</t>
  </si>
  <si>
    <t xml:space="preserve">Alerts per pilot user per month</t>
  </si>
  <si>
    <t xml:space="preserve">ASSUMPTION. Escalations should be rare; raise to stress-test.</t>
  </si>
  <si>
    <t xml:space="preserve">Cloud hosting ($/month)</t>
  </si>
  <si>
    <t xml:space="preserve">ASSUMPTION. The prototype runs locally; cloud is optional.</t>
  </si>
  <si>
    <t xml:space="preserve">Maintenance hours per month</t>
  </si>
  <si>
    <t xml:space="preserve">Unit prices</t>
  </si>
  <si>
    <t xml:space="preserve">Item</t>
  </si>
  <si>
    <t xml:space="preserve">Value</t>
  </si>
  <si>
    <t xml:space="preserve">Unit</t>
  </si>
  <si>
    <t xml:space="preserve">Basis / source</t>
  </si>
  <si>
    <t xml:space="preserve">Polar H10 chest sensor</t>
  </si>
  <si>
    <t xml:space="preserve">USD each</t>
  </si>
  <si>
    <t xml:space="preserve">SOURCED (S1): US retailer listing. Other listings seen ranged from about $65 to $130.</t>
  </si>
  <si>
    <t xml:space="preserve">Test smartwatch</t>
  </si>
  <si>
    <t xml:space="preserve">ASSUMPTION. Not sourced; depends on the watch model chosen.</t>
  </si>
  <si>
    <t xml:space="preserve">Twilio SMS price per segment (US)</t>
  </si>
  <si>
    <t xml:space="preserve">USD per segment</t>
  </si>
  <si>
    <t xml:space="preserve">SOURCED (S2): 'starts at'. Carrier fees and registration costs are extra and not included.</t>
  </si>
  <si>
    <t xml:space="preserve">SMS segments per alert</t>
  </si>
  <si>
    <t xml:space="preserve">segments</t>
  </si>
  <si>
    <t xml:space="preserve">ASSUMPTION. Alert text is roughly 200 characters.</t>
  </si>
  <si>
    <t xml:space="preserve">Cost per alert SMS</t>
  </si>
  <si>
    <t xml:space="preserve">USD per alert</t>
  </si>
  <si>
    <t xml:space="preserve">Formula.</t>
  </si>
  <si>
    <t xml:space="preserve">Twilio local phone number rental</t>
  </si>
  <si>
    <t xml:space="preserve">USD per month</t>
  </si>
  <si>
    <t xml:space="preserve">THIRD-PARTY (S3): summary of Twilio pricing. Verify on Twilio's site.</t>
  </si>
  <si>
    <t xml:space="preserve">Participant incentive</t>
  </si>
  <si>
    <t xml:space="preserve">USD per participant</t>
  </si>
  <si>
    <t xml:space="preserve">Webcam</t>
  </si>
  <si>
    <t xml:space="preserve">Work Breakdown (base hours)</t>
  </si>
  <si>
    <t xml:space="preserve">Hours are engineering-judgment ASSUMPTIONS mapped to the AI PRD roadmap. Edit the blue cells; everything recalculates.</t>
  </si>
  <si>
    <t xml:space="preserve">Phase</t>
  </si>
  <si>
    <t xml:space="preserve">Work item</t>
  </si>
  <si>
    <t xml:space="preserve">PRD reference</t>
  </si>
  <si>
    <t xml:space="preserve">Base hours</t>
  </si>
  <si>
    <t xml:space="preserve">Dead-man's alert for sensor loss</t>
  </si>
  <si>
    <t xml:space="preserve">FR-7</t>
  </si>
  <si>
    <t xml:space="preserve">Highest priority item in the PRD.</t>
  </si>
  <si>
    <t xml:space="preserve">Confidence gate before intervention</t>
  </si>
  <si>
    <t xml:space="preserve">FR-8</t>
  </si>
  <si>
    <t xml:space="preserve">Minimum-readings threshold is still to be set.</t>
  </si>
  <si>
    <t xml:space="preserve">Noise and outlier filter</t>
  </si>
  <si>
    <t xml:space="preserve">Roadmap, Phase 1</t>
  </si>
  <si>
    <t xml:space="preserve">Median or similar filter before scoring.</t>
  </si>
  <si>
    <t xml:space="preserve">Notification retries and acknowledgment</t>
  </si>
  <si>
    <t xml:space="preserve">FR-17</t>
  </si>
  <si>
    <t xml:space="preserve">Emergency contact opt-in flow</t>
  </si>
  <si>
    <t xml:space="preserve">Risks table</t>
  </si>
  <si>
    <t xml:space="preserve">Contact must agree before being alerted.</t>
  </si>
  <si>
    <t xml:space="preserve">Log purge and privacy controls</t>
  </si>
  <si>
    <t xml:space="preserve">Tests and evals for the above</t>
  </si>
  <si>
    <t xml:space="preserve">Evaluation plan</t>
  </si>
  <si>
    <t xml:space="preserve">Replay eval harness</t>
  </si>
  <si>
    <t xml:space="preserve">Replays recorded sessions through the pipeline.</t>
  </si>
  <si>
    <t xml:space="preserve">Session recording and labelling tools</t>
  </si>
  <si>
    <t xml:space="preserve">Skin tone and motion test protocol</t>
  </si>
  <si>
    <t xml:space="preserve">Fairness analysis against chest-strap reference</t>
  </si>
  <si>
    <t xml:space="preserve">Watch relay support (phone relay or broadcast)</t>
  </si>
  <si>
    <t xml:space="preserve">FR-3</t>
  </si>
  <si>
    <t xml:space="preserve">Largest single item; depends on the watch chosen.</t>
  </si>
  <si>
    <t xml:space="preserve">Notification flow and sensor dropout evals</t>
  </si>
  <si>
    <t xml:space="preserve">Threshold tuning from recorded data</t>
  </si>
  <si>
    <t xml:space="preserve">AI requirements</t>
  </si>
  <si>
    <t xml:space="preserve">Camera cross-check (face landmarks)</t>
  </si>
  <si>
    <t xml:space="preserve">Roadmap, Phase 3</t>
  </si>
  <si>
    <t xml:space="preserve">Learned model vs heuristic comparison</t>
  </si>
  <si>
    <t xml:space="preserve">Must beat the heuristic on recorded sessions to replace it.</t>
  </si>
  <si>
    <t xml:space="preserve">Per-driver baseline profiles</t>
  </si>
  <si>
    <t xml:space="preserve">Integration and evals</t>
  </si>
  <si>
    <t xml:space="preserve">Phase 0 (Prototype) is already built and is not costed here.</t>
  </si>
  <si>
    <t xml:space="preserve">Labor Costs by Phase</t>
  </si>
  <si>
    <t xml:space="preserve">Base hours × (1 + overhead) × blended rate, per scenario. Phase names must match the Work Breakdown tab.</t>
  </si>
  <si>
    <t xml:space="preserve">Hours incl. overhead — Lean</t>
  </si>
  <si>
    <t xml:space="preserve">Hours incl. overhead — Base</t>
  </si>
  <si>
    <t xml:space="preserve">Hours incl. overhead — Full</t>
  </si>
  <si>
    <t xml:space="preserve">Labor cost — Lean</t>
  </si>
  <si>
    <t xml:space="preserve">Labor cost — Base</t>
  </si>
  <si>
    <t xml:space="preserve">Labor cost — Full</t>
  </si>
  <si>
    <t xml:space="preserve">Total</t>
  </si>
  <si>
    <t xml:space="preserve">Non-Labor Costs</t>
  </si>
  <si>
    <t xml:space="preserve">Quantity × unit price per scenario. Allowance rows use a unit price of $1, so the quantity is the dollar amount.</t>
  </si>
  <si>
    <t xml:space="preserve">Unit price</t>
  </si>
  <si>
    <t xml:space="preserve">Qty — Lean</t>
  </si>
  <si>
    <t xml:space="preserve">Qty — Base</t>
  </si>
  <si>
    <t xml:space="preserve">Qty — Full</t>
  </si>
  <si>
    <t xml:space="preserve">Cost — Lean</t>
  </si>
  <si>
    <t xml:space="preserve">Cost — Base</t>
  </si>
  <si>
    <t xml:space="preserve">Cost — Full</t>
  </si>
  <si>
    <t xml:space="preserve">Polar H10 sensors for development</t>
  </si>
  <si>
    <t xml:space="preserve">each</t>
  </si>
  <si>
    <t xml:space="preserve">Chest strap used as the BLE reference sensor.</t>
  </si>
  <si>
    <t xml:space="preserve">Test smartwatch for relay and wear checks</t>
  </si>
  <si>
    <t xml:space="preserve">Twilio number rental during build</t>
  </si>
  <si>
    <t xml:space="preserve">month</t>
  </si>
  <si>
    <t xml:space="preserve">Spans all three phases.</t>
  </si>
  <si>
    <t xml:space="preserve">Test alert SMS messages</t>
  </si>
  <si>
    <t xml:space="preserve">message</t>
  </si>
  <si>
    <t xml:space="preserve">Carrier fees not included.</t>
  </si>
  <si>
    <t xml:space="preserve">Reference chest-strap sensors for validation study</t>
  </si>
  <si>
    <t xml:space="preserve">Used as ground truth against wrist data.</t>
  </si>
  <si>
    <t xml:space="preserve">Additional test watch models</t>
  </si>
  <si>
    <t xml:space="preserve">Participant incentives</t>
  </si>
  <si>
    <t xml:space="preserve">participant</t>
  </si>
  <si>
    <t xml:space="preserve">Linked to the participants driver.</t>
  </si>
  <si>
    <t xml:space="preserve">Ethics and legal review allowance</t>
  </si>
  <si>
    <t xml:space="preserve">USD</t>
  </si>
  <si>
    <t xml:space="preserve">ASSUMPTION. Human-subject data collection may need formal review; confirm with your institution.</t>
  </si>
  <si>
    <t xml:space="preserve">Data storage and tooling for recorded sessions</t>
  </si>
  <si>
    <t xml:space="preserve">Webcam for camera cross-check</t>
  </si>
  <si>
    <t xml:space="preserve">Cloud compute for model comparison</t>
  </si>
  <si>
    <t xml:space="preserve">ASSUMPTION. The model is expected to be small.</t>
  </si>
  <si>
    <t xml:space="preserve">Totals by phase</t>
  </si>
  <si>
    <t xml:space="preserve">Annual Run Costs (steady state after build)</t>
  </si>
  <si>
    <t xml:space="preserve">Recurring costs once the product is running with pilot users.</t>
  </si>
  <si>
    <t xml:space="preserve">Pilot users</t>
  </si>
  <si>
    <t xml:space="preserve">Linked.</t>
  </si>
  <si>
    <t xml:space="preserve">Alerts per user per month</t>
  </si>
  <si>
    <t xml:space="preserve">Alerts per year</t>
  </si>
  <si>
    <t xml:space="preserve">Users × alerts × 12 months.</t>
  </si>
  <si>
    <t xml:space="preserve">SMS cost per year</t>
  </si>
  <si>
    <t xml:space="preserve">Alerts × cost per alert SMS. Carrier fees not included.</t>
  </si>
  <si>
    <t xml:space="preserve">Twilio number rental per year</t>
  </si>
  <si>
    <t xml:space="preserve">Local number, 12 months.</t>
  </si>
  <si>
    <t xml:space="preserve">Cloud hosting per year</t>
  </si>
  <si>
    <t xml:space="preserve">Zero if you keep running locally.</t>
  </si>
  <si>
    <t xml:space="preserve">Maintenance labor per year</t>
  </si>
  <si>
    <t xml:space="preserve">Hours per month × 12 × blended rate.</t>
  </si>
  <si>
    <t xml:space="preserve">Sum of SMS, number rental, hosting and maintenance.</t>
  </si>
  <si>
    <t xml:space="preserve">Computer Vision Options (change vs. the plan)</t>
  </si>
  <si>
    <t xml:space="preserve">Illustrative comparison. Option A (pre-trained face landmarks) is already in the plan; B and C show what changes. Blue = input.</t>
  </si>
  <si>
    <t xml:space="preserve">Inputs (assumptions)</t>
  </si>
  <si>
    <t xml:space="preserve">Input</t>
  </si>
  <si>
    <t xml:space="preserve">Extra engineering hours for a custom CV model</t>
  </si>
  <si>
    <t xml:space="preserve">ASSUMPTION. Data collection and labelling tools, training, evaluation, edge optimisation.</t>
  </si>
  <si>
    <t xml:space="preserve">Extra participants for face-video data</t>
  </si>
  <si>
    <t xml:space="preserve">Extra GPU hours for training</t>
  </si>
  <si>
    <t xml:space="preserve">GPU price ($/hour, A100 80GB)</t>
  </si>
  <si>
    <t xml:space="preserve">SOURCED (S5): low-cost provider list price. Big cloud providers charge about $3.67 to $5.03 (S6).</t>
  </si>
  <si>
    <t xml:space="preserve">Rework hours if the heart signal is dropped (camera only)</t>
  </si>
  <si>
    <t xml:space="preserve">ASSUMPTION. The AI layer's scoring is built on BPM and HRV.</t>
  </si>
  <si>
    <t xml:space="preserve">Sensor and watch hardware still needed (camera only)</t>
  </si>
  <si>
    <t xml:space="preserve">ASSUMPTION. Raise above 0% if you keep a reference sensor.</t>
  </si>
  <si>
    <t xml:space="preserve">Baseline pulled from the main model</t>
  </si>
  <si>
    <t xml:space="preserve">Camera cross-check base hours (Phase 3)</t>
  </si>
  <si>
    <t xml:space="preserve">Looked up from the Work Breakdown tab.</t>
  </si>
  <si>
    <t xml:space="preserve">Camera cross-check labor (incl. overhead)</t>
  </si>
  <si>
    <t xml:space="preserve">Hours × (1 + overhead) × blended rate.</t>
  </si>
  <si>
    <t xml:space="preserve">From the Non-Labor Costs tab.</t>
  </si>
  <si>
    <t xml:space="preserve">Camera cross-check cost incl. contingency (already in plan)</t>
  </si>
  <si>
    <t xml:space="preserve">Option A. Included in the Summary totals.</t>
  </si>
  <si>
    <t xml:space="preserve">Baseline one-time total (main model)</t>
  </si>
  <si>
    <t xml:space="preserve">Summary tab, one-time total.</t>
  </si>
  <si>
    <t xml:space="preserve">Option B: train a custom deep-learning vision model (added cost)</t>
  </si>
  <si>
    <t xml:space="preserve">Extra engineering labor</t>
  </si>
  <si>
    <t xml:space="preserve">Extra hours × (1 + overhead) × rate.</t>
  </si>
  <si>
    <t xml:space="preserve">Extra participant incentives</t>
  </si>
  <si>
    <t xml:space="preserve">Extra participants × incentive per participant.</t>
  </si>
  <si>
    <t xml:space="preserve">Extra GPU compute</t>
  </si>
  <si>
    <t xml:space="preserve">GPU hours × GPU price. Small next to labor.</t>
  </si>
  <si>
    <t xml:space="preserve">Added subtotal</t>
  </si>
  <si>
    <t xml:space="preserve">Added contingency</t>
  </si>
  <si>
    <t xml:space="preserve">Same contingency % as the main model.</t>
  </si>
  <si>
    <t xml:space="preserve">Added one-time cost</t>
  </si>
  <si>
    <t xml:space="preserve">Change vs. plan</t>
  </si>
  <si>
    <t xml:space="preserve">Added cost ÷ baseline one-time total.</t>
  </si>
  <si>
    <t xml:space="preserve">Option C: camera only (drop the watch and sensor work)</t>
  </si>
  <si>
    <t xml:space="preserve">Watch relay work avoided (FR-3 base hours)</t>
  </si>
  <si>
    <t xml:space="preserve">Watch relay labor avoided</t>
  </si>
  <si>
    <t xml:space="preserve">Hours × (1 + overhead) × rate.</t>
  </si>
  <si>
    <t xml:space="preserve">Sensor and watch hardware avoided</t>
  </si>
  <si>
    <t xml:space="preserve">Phase 1 and 2 sensors and watches, less any hardware still needed.</t>
  </si>
  <si>
    <t xml:space="preserve">Subtotal avoided</t>
  </si>
  <si>
    <t xml:space="preserve">Contingency avoided</t>
  </si>
  <si>
    <t xml:space="preserve">Gross saving</t>
  </si>
  <si>
    <t xml:space="preserve">Before any rework.</t>
  </si>
  <si>
    <t xml:space="preserve">Rework of AI layer without the heart signal (incl. contingency)</t>
  </si>
  <si>
    <t xml:space="preserve">Rework hours × (1 + overhead) × rate × (1 + contingency).</t>
  </si>
  <si>
    <t xml:space="preserve">Net change (negative = saving)</t>
  </si>
  <si>
    <t xml:space="preserve">Rework minus gross saving.</t>
  </si>
  <si>
    <t xml:space="preserve">Net change vs. plan</t>
  </si>
  <si>
    <t xml:space="preserve">Net change ÷ baseline one-time total.</t>
  </si>
  <si>
    <t xml:space="preserve">Comparison: change in one-time total vs. plan</t>
  </si>
  <si>
    <t xml:space="preserve">B. Custom deep-learning vision model</t>
  </si>
  <si>
    <t xml:space="preserve">Added cost.</t>
  </si>
  <si>
    <t xml:space="preserve">C. Camera only, gross saving</t>
  </si>
  <si>
    <t xml:space="preserve">Before rework; negative = saving.</t>
  </si>
  <si>
    <t xml:space="preserve">After the rework allowance; negative = saving.</t>
  </si>
  <si>
    <t xml:space="preserve">One-time total with option B</t>
  </si>
  <si>
    <t xml:space="preserve">One-time total with option C (net)</t>
  </si>
  <si>
    <t xml:space="preserve">A. Pre-trained face landmarks is the current plan and changes nothing. Option C also drops the heart signal the PRD relies on, and camera-only accuracy is weaker in poor light or with sunglasses.</t>
  </si>
  <si>
    <t xml:space="preserve">Sources and Limitations</t>
  </si>
  <si>
    <t xml:space="preserve">Prices retrieved October 2026. Everything not listed here is an assumption, marked as such on the Assumptions tab.</t>
  </si>
  <si>
    <t xml:space="preserve">ID</t>
  </si>
  <si>
    <t xml:space="preserve">Source</t>
  </si>
  <si>
    <t xml:space="preserve">Used for</t>
  </si>
  <si>
    <t xml:space="preserve">Type</t>
  </si>
  <si>
    <t xml:space="preserve">URL</t>
  </si>
  <si>
    <t xml:space="preserve">S1</t>
  </si>
  <si>
    <t xml:space="preserve">PlayBetter: Polar H10 Heart Rate Monitor listing</t>
  </si>
  <si>
    <t xml:space="preserve">Chest sensor price ($89.95)</t>
  </si>
  <si>
    <t xml:space="preserve">US retailer listing</t>
  </si>
  <si>
    <t xml:space="preserve">https://www.playbetter.com/collections/polar-heart-rate-monitors</t>
  </si>
  <si>
    <t xml:space="preserve">Retail prices vary by seller and sale; listings seen ranged from about $65 to $130.</t>
  </si>
  <si>
    <t xml:space="preserve">S2</t>
  </si>
  <si>
    <t xml:space="preserve">Twilio: SMS pricing (United States)</t>
  </si>
  <si>
    <t xml:space="preserve">SMS price per segment ($0.0083, 'starts at')</t>
  </si>
  <si>
    <t xml:space="preserve">Vendor pricing page</t>
  </si>
  <si>
    <t xml:space="preserve">https://www.twilio.com/en-us/sms/pricing</t>
  </si>
  <si>
    <t xml:space="preserve">Page states pricing current as of August 2026. Carrier fees are additional.</t>
  </si>
  <si>
    <t xml:space="preserve">S3</t>
  </si>
  <si>
    <t xml:space="preserve">Textus: Twilio pricing overview</t>
  </si>
  <si>
    <t xml:space="preserve">Local number rental ($1.15/month)</t>
  </si>
  <si>
    <t xml:space="preserve">Third-party summary</t>
  </si>
  <si>
    <t xml:space="preserve">https://textus.com/blog/twilio-pricing</t>
  </si>
  <si>
    <t xml:space="preserve">Not from Twilio directly; verify before committing.</t>
  </si>
  <si>
    <t xml:space="preserve">S4</t>
  </si>
  <si>
    <t xml:space="preserve">Stress-Aware Driving App: AI PRD (this conversation)</t>
  </si>
  <si>
    <t xml:space="preserve">Roadmap phases, requirement IDs, scope limits</t>
  </si>
  <si>
    <t xml:space="preserve">Internal document</t>
  </si>
  <si>
    <t xml:space="preserve">Defines the work items costed in the Work Breakdown tab.</t>
  </si>
  <si>
    <t xml:space="preserve">S5</t>
  </si>
  <si>
    <t xml:space="preserve">Jarvislabs: NVIDIA A100 GPU price in 2026</t>
  </si>
  <si>
    <t xml:space="preserve">GPU price ($1.49/hour, A100 80GB on demand)</t>
  </si>
  <si>
    <t xml:space="preserve">Provider blog</t>
  </si>
  <si>
    <t xml:space="preserve">https://docs.jarvislabs.ai/blog/a100-price</t>
  </si>
  <si>
    <t xml:space="preserve">Snapshot from March 2026; GPU prices change often.</t>
  </si>
  <si>
    <t xml:space="preserve">S6</t>
  </si>
  <si>
    <t xml:space="preserve">Hostinger: Cloud GPU pricing compared (2026)</t>
  </si>
  <si>
    <t xml:space="preserve">Context: big cloud providers charge about $3.67 to $5.03 per A100 hour</t>
  </si>
  <si>
    <t xml:space="preserve">Third-party comparison</t>
  </si>
  <si>
    <t xml:space="preserve">https://www.hostinger.com/tutorials/?p=158956</t>
  </si>
  <si>
    <t xml:space="preserve">Prices as of September 2026.</t>
  </si>
  <si>
    <t xml:space="preserve">Limitations</t>
  </si>
  <si>
    <t xml:space="preserve">1. Engineering hours, rates, allowances and participant counts are assumptions, not quotes. Replace the yellow and blue cells with your own numbers.</t>
  </si>
  <si>
    <t xml:space="preserve">2. No salary or contractor-rate source was used; the rate drivers are placeholders for your actual cost.</t>
  </si>
  <si>
    <t xml:space="preserve">3. Hardware prices change by retailer and season. The estimate uses one retailer's list price.</t>
  </si>
  <si>
    <t xml:space="preserve">4. The computer vision options use illustrative hours, participant counts and GPU hours that are assumptions, not measurements.</t>
  </si>
  <si>
    <t xml:space="preserve">5. The estimate covers the PRD's Phases 1 to 3 only, in US dollars, and is an order-of-magnitude planning aid rather than a bid.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</si>
</sst>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%"/>
    <numFmt numFmtId="167" formatCode="\$#,##0"/>
    <numFmt numFmtId="168" formatCode="#,##0"/>
    <numFmt numFmtId="169" formatCode="\$#,##0.00;&quot;($&quot;#,##0.00\);\-"/>
    <numFmt numFmtId="170" formatCode="\$#,##0.0000"/>
    <numFmt numFmtId="171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2A44"/>
        <bgColor rgb="FF003366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One-time cost by phase and scenario (labor + non-labor)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Summary!B11</c:f>
              <c:strCache>
                <c:ptCount val="1"/>
                <c:pt idx="0">
                  <c:v>Lean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Summary!$A$12:$A$14</c:f>
              <c:strCache>
                <c:ptCount val="3"/>
                <c:pt idx="0">
                  <c:v>Phase 1 Harden</c:v>
                </c:pt>
                <c:pt idx="1">
                  <c:v>Phase 2 Validate</c:v>
                </c:pt>
                <c:pt idx="2">
                  <c:v>Phase 3 Extend</c:v>
                </c:pt>
              </c:strCache>
            </c:strRef>
          </c:cat>
          <c:val>
            <c:numRef>
              <c:f>Summary!$B$12:$B$14</c:f>
              <c:numCache>
                <c:formatCode>\$#,##0;"($"#,##0\);\-</c:formatCode>
                <c:ptCount val="3"/>
                <c:pt idx="0">
                  <c:v>8531.68</c:v>
                </c:pt>
                <c:pt idx="1">
                  <c:v>19159.9</c:v>
                </c:pt>
                <c:pt idx="2">
                  <c:v>17290</c:v>
                </c:pt>
              </c:numCache>
            </c:numRef>
          </c:val>
        </c:ser>
        <c:ser>
          <c:idx val="1"/>
          <c:order val="1"/>
          <c:tx>
            <c:strRef>
              <c:f>Summary!C11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Summary!$A$12:$A$14</c:f>
              <c:strCache>
                <c:ptCount val="3"/>
                <c:pt idx="0">
                  <c:v>Phase 1 Harden</c:v>
                </c:pt>
                <c:pt idx="1">
                  <c:v>Phase 2 Validate</c:v>
                </c:pt>
                <c:pt idx="2">
                  <c:v>Phase 3 Extend</c:v>
                </c:pt>
              </c:strCache>
            </c:strRef>
          </c:cat>
          <c:val>
            <c:numRef>
              <c:f>Summary!$C$12:$C$14</c:f>
              <c:numCache>
                <c:formatCode>\$#,##0;"($"#,##0\);\-</c:formatCode>
                <c:ptCount val="3"/>
                <c:pt idx="0">
                  <c:v>13185.96</c:v>
                </c:pt>
                <c:pt idx="1">
                  <c:v>32119.85</c:v>
                </c:pt>
                <c:pt idx="2">
                  <c:v>27190</c:v>
                </c:pt>
              </c:numCache>
            </c:numRef>
          </c:val>
        </c:ser>
        <c:ser>
          <c:idx val="2"/>
          <c:order val="2"/>
          <c:tx>
            <c:strRef>
              <c:f>Summary!D11</c:f>
              <c:strCache>
                <c:ptCount val="1"/>
                <c:pt idx="0">
                  <c:v>Full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Summary!$A$12:$A$14</c:f>
              <c:strCache>
                <c:ptCount val="3"/>
                <c:pt idx="0">
                  <c:v>Phase 1 Harden</c:v>
                </c:pt>
                <c:pt idx="1">
                  <c:v>Phase 2 Validate</c:v>
                </c:pt>
                <c:pt idx="2">
                  <c:v>Phase 3 Extend</c:v>
                </c:pt>
              </c:strCache>
            </c:strRef>
          </c:cat>
          <c:val>
            <c:numRef>
              <c:f>Summary!$D$12:$D$14</c:f>
              <c:numCache>
                <c:formatCode>\$#,##0;"($"#,##0\);\-</c:formatCode>
                <c:ptCount val="3"/>
                <c:pt idx="0">
                  <c:v>18553.02</c:v>
                </c:pt>
                <c:pt idx="1">
                  <c:v>48619.75</c:v>
                </c:pt>
                <c:pt idx="2">
                  <c:v>38200</c:v>
                </c:pt>
              </c:numCache>
            </c:numRef>
          </c:val>
        </c:ser>
        <c:gapWidth val="150"/>
        <c:overlap val="0"/>
        <c:axId val="56199242"/>
        <c:axId val="1807261"/>
      </c:barChart>
      <c:catAx>
        <c:axId val="561992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7261"/>
        <c:crosses val="autoZero"/>
        <c:auto val="1"/>
        <c:lblAlgn val="ctr"/>
        <c:lblOffset val="100"/>
        <c:noMultiLvlLbl val="0"/>
      </c:catAx>
      <c:valAx>
        <c:axId val="1807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992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 in one-time total vs. plan, by option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'CV Options'!B44</c:f>
              <c:strCache>
                <c:ptCount val="1"/>
                <c:pt idx="0">
                  <c:v>Lean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'CV Options'!$A$45:$A$47</c:f>
              <c:strCache>
                <c:ptCount val="3"/>
                <c:pt idx="0">
                  <c:v>B. Custom deep-learning vision model</c:v>
                </c:pt>
                <c:pt idx="1">
                  <c:v>C. Camera only, gross saving</c:v>
                </c:pt>
                <c:pt idx="2">
                  <c:v>C. Camera only, net of AI-layer rework</c:v>
                </c:pt>
              </c:strCache>
            </c:strRef>
          </c:cat>
          <c:val>
            <c:numRef>
              <c:f>'CV Options'!$B$45:$B$47</c:f>
              <c:numCache>
                <c:formatCode>\$#,##0;"($"#,##0\);\-</c:formatCode>
                <c:ptCount val="3"/>
                <c:pt idx="0">
                  <c:v>13752.85</c:v>
                </c:pt>
                <c:pt idx="1">
                  <c:v>-6957.3275</c:v>
                </c:pt>
                <c:pt idx="2">
                  <c:v>-2403.3275</c:v>
                </c:pt>
              </c:numCache>
            </c:numRef>
          </c:val>
        </c:ser>
        <c:ser>
          <c:idx val="1"/>
          <c:order val="1"/>
          <c:tx>
            <c:strRef>
              <c:f>'CV Options'!C44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'CV Options'!$A$45:$A$47</c:f>
              <c:strCache>
                <c:ptCount val="3"/>
                <c:pt idx="0">
                  <c:v>B. Custom deep-learning vision model</c:v>
                </c:pt>
                <c:pt idx="1">
                  <c:v>C. Camera only, gross saving</c:v>
                </c:pt>
                <c:pt idx="2">
                  <c:v>C. Camera only, net of AI-layer rework</c:v>
                </c:pt>
              </c:strCache>
            </c:strRef>
          </c:cat>
          <c:val>
            <c:numRef>
              <c:f>'CV Options'!$C$45:$C$47</c:f>
              <c:numCache>
                <c:formatCode>\$#,##0;"($"#,##0\);\-</c:formatCode>
                <c:ptCount val="3"/>
                <c:pt idx="0">
                  <c:v>34547.5</c:v>
                </c:pt>
                <c:pt idx="1">
                  <c:v>-11737.25</c:v>
                </c:pt>
                <c:pt idx="2">
                  <c:v>3787.75</c:v>
                </c:pt>
              </c:numCache>
            </c:numRef>
          </c:val>
        </c:ser>
        <c:ser>
          <c:idx val="2"/>
          <c:order val="2"/>
          <c:tx>
            <c:strRef>
              <c:f>'CV Options'!D44</c:f>
              <c:strCache>
                <c:ptCount val="1"/>
                <c:pt idx="0">
                  <c:v>Full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'CV Options'!$A$45:$A$47</c:f>
              <c:strCache>
                <c:ptCount val="3"/>
                <c:pt idx="0">
                  <c:v>B. Custom deep-learning vision model</c:v>
                </c:pt>
                <c:pt idx="1">
                  <c:v>C. Camera only, gross saving</c:v>
                </c:pt>
                <c:pt idx="2">
                  <c:v>C. Camera only, net of AI-layer rework</c:v>
                </c:pt>
              </c:strCache>
            </c:strRef>
          </c:cat>
          <c:val>
            <c:numRef>
              <c:f>'CV Options'!$D$45:$D$47</c:f>
              <c:numCache>
                <c:formatCode>\$#,##0;"($"#,##0\);\-</c:formatCode>
                <c:ptCount val="3"/>
                <c:pt idx="0">
                  <c:v>77538.6</c:v>
                </c:pt>
                <c:pt idx="1">
                  <c:v>-18089.5275</c:v>
                </c:pt>
                <c:pt idx="2">
                  <c:v>16902.4725</c:v>
                </c:pt>
              </c:numCache>
            </c:numRef>
          </c:val>
        </c:ser>
        <c:gapWidth val="150"/>
        <c:overlap val="0"/>
        <c:axId val="36078486"/>
        <c:axId val="23650753"/>
      </c:barChart>
      <c:catAx>
        <c:axId val="36078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50753"/>
        <c:crosses val="autoZero"/>
        <c:auto val="1"/>
        <c:lblAlgn val="ctr"/>
        <c:lblOffset val="100"/>
        <c:noMultiLvlLbl val="0"/>
      </c:catAx>
      <c:valAx>
        <c:axId val="23650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784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43</xdr:row>
      <xdr:rowOff>160920</xdr:rowOff>
    </xdr:from>
    <xdr:to>
      <xdr:col>3</xdr:col>
      <xdr:colOff>856080</xdr:colOff>
      <xdr:row>59</xdr:row>
      <xdr:rowOff>172440</xdr:rowOff>
    </xdr:to>
    <xdr:graphicFrame>
      <xdr:nvGraphicFramePr>
        <xdr:cNvPr id="0" name="Chart 1"/>
        <xdr:cNvGraphicFramePr/>
      </xdr:nvGraphicFramePr>
      <xdr:xfrm>
        <a:off x="0" y="1004904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49</xdr:row>
      <xdr:rowOff>335880</xdr:rowOff>
    </xdr:from>
    <xdr:to>
      <xdr:col>3</xdr:col>
      <xdr:colOff>856080</xdr:colOff>
      <xdr:row>65</xdr:row>
      <xdr:rowOff>137880</xdr:rowOff>
    </xdr:to>
    <xdr:graphicFrame>
      <xdr:nvGraphicFramePr>
        <xdr:cNvPr id="1" name="Chart 1"/>
        <xdr:cNvGraphicFramePr/>
      </xdr:nvGraphicFramePr>
      <xdr:xfrm>
        <a:off x="0" y="1111572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4" min="2" style="0" width="18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6" t="s">
        <v>4</v>
      </c>
    </row>
    <row r="7" customFormat="false" ht="15" hidden="false" customHeight="false" outlineLevel="0" collapsed="false">
      <c r="A7" s="7" t="s">
        <v>5</v>
      </c>
    </row>
    <row r="8" customFormat="false" ht="15" hidden="false" customHeight="false" outlineLevel="0" collapsed="false">
      <c r="A8" s="8" t="s">
        <v>6</v>
      </c>
    </row>
    <row r="10" customFormat="false" ht="15" hidden="false" customHeight="false" outlineLevel="0" collapsed="false">
      <c r="A10" s="3" t="s">
        <v>7</v>
      </c>
      <c r="B10" s="4"/>
      <c r="C10" s="4"/>
      <c r="D10" s="4"/>
      <c r="E10" s="4"/>
    </row>
    <row r="11" customFormat="false" ht="33.75" hidden="false" customHeight="true" outlineLevel="0" collapsed="false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customFormat="false" ht="15" hidden="false" customHeight="false" outlineLevel="0" collapsed="false">
      <c r="A12" s="10" t="s">
        <v>13</v>
      </c>
      <c r="B12" s="11" t="n">
        <f aca="false">'Labor Costs'!F5+'Non-Labor Costs'!H18</f>
        <v>8531.68</v>
      </c>
      <c r="C12" s="11" t="n">
        <f aca="false">'Labor Costs'!G5+'Non-Labor Costs'!I18</f>
        <v>13185.96</v>
      </c>
      <c r="D12" s="11" t="n">
        <f aca="false">'Labor Costs'!H5+'Non-Labor Costs'!J18</f>
        <v>18553.02</v>
      </c>
      <c r="E12" s="12" t="s">
        <v>14</v>
      </c>
    </row>
    <row r="13" customFormat="false" ht="15" hidden="false" customHeight="false" outlineLevel="0" collapsed="false">
      <c r="A13" s="10" t="s">
        <v>15</v>
      </c>
      <c r="B13" s="11" t="n">
        <f aca="false">'Labor Costs'!F6+'Non-Labor Costs'!H19</f>
        <v>19159.9</v>
      </c>
      <c r="C13" s="11" t="n">
        <f aca="false">'Labor Costs'!G6+'Non-Labor Costs'!I19</f>
        <v>32119.85</v>
      </c>
      <c r="D13" s="11" t="n">
        <f aca="false">'Labor Costs'!H6+'Non-Labor Costs'!J19</f>
        <v>48619.75</v>
      </c>
      <c r="E13" s="12" t="s">
        <v>14</v>
      </c>
    </row>
    <row r="14" customFormat="false" ht="15" hidden="false" customHeight="false" outlineLevel="0" collapsed="false">
      <c r="A14" s="10" t="s">
        <v>16</v>
      </c>
      <c r="B14" s="11" t="n">
        <f aca="false">'Labor Costs'!F7+'Non-Labor Costs'!H20</f>
        <v>17290</v>
      </c>
      <c r="C14" s="11" t="n">
        <f aca="false">'Labor Costs'!G7+'Non-Labor Costs'!I20</f>
        <v>27190</v>
      </c>
      <c r="D14" s="11" t="n">
        <f aca="false">'Labor Costs'!H7+'Non-Labor Costs'!J20</f>
        <v>38200</v>
      </c>
      <c r="E14" s="12" t="s">
        <v>14</v>
      </c>
    </row>
    <row r="15" customFormat="false" ht="15" hidden="false" customHeight="false" outlineLevel="0" collapsed="false">
      <c r="A15" s="13" t="s">
        <v>17</v>
      </c>
      <c r="B15" s="14" t="n">
        <f aca="false">SUM(B12:B14)</f>
        <v>44981.58</v>
      </c>
      <c r="C15" s="14" t="n">
        <f aca="false">SUM(C12:C14)</f>
        <v>72495.81</v>
      </c>
      <c r="D15" s="14" t="n">
        <f aca="false">SUM(D12:D14)</f>
        <v>105372.77</v>
      </c>
      <c r="E15" s="15"/>
    </row>
    <row r="16" customFormat="false" ht="15" hidden="false" customHeight="false" outlineLevel="0" collapsed="false">
      <c r="A16" s="16" t="s">
        <v>18</v>
      </c>
      <c r="B16" s="17" t="n">
        <f aca="false">B15*Assumptions!B8</f>
        <v>6747.237</v>
      </c>
      <c r="C16" s="17" t="n">
        <f aca="false">C15*Assumptions!C8</f>
        <v>18123.9525</v>
      </c>
      <c r="D16" s="17" t="n">
        <f aca="false">D15*Assumptions!D8</f>
        <v>36880.4695</v>
      </c>
      <c r="E16" s="16" t="s">
        <v>19</v>
      </c>
    </row>
    <row r="17" customFormat="false" ht="15" hidden="false" customHeight="false" outlineLevel="0" collapsed="false">
      <c r="A17" s="13" t="s">
        <v>20</v>
      </c>
      <c r="B17" s="14" t="n">
        <f aca="false">B15+B16</f>
        <v>51728.817</v>
      </c>
      <c r="C17" s="14" t="n">
        <f aca="false">C15+C16</f>
        <v>90619.7625</v>
      </c>
      <c r="D17" s="14" t="n">
        <f aca="false">D15+D16</f>
        <v>142253.2395</v>
      </c>
      <c r="E17" s="15"/>
    </row>
    <row r="19" customFormat="false" ht="15" hidden="false" customHeight="false" outlineLevel="0" collapsed="false">
      <c r="A19" s="3" t="s">
        <v>21</v>
      </c>
      <c r="B19" s="4"/>
      <c r="C19" s="4"/>
      <c r="D19" s="4"/>
      <c r="E19" s="4"/>
    </row>
    <row r="20" customFormat="false" ht="33.75" hidden="false" customHeight="true" outlineLevel="0" collapsed="false">
      <c r="A20" s="9" t="s">
        <v>8</v>
      </c>
      <c r="B20" s="9" t="s">
        <v>9</v>
      </c>
      <c r="C20" s="9" t="s">
        <v>10</v>
      </c>
      <c r="D20" s="9" t="s">
        <v>11</v>
      </c>
      <c r="E20" s="9" t="s">
        <v>12</v>
      </c>
    </row>
    <row r="21" customFormat="false" ht="15" hidden="false" customHeight="false" outlineLevel="0" collapsed="false">
      <c r="A21" s="16" t="s">
        <v>22</v>
      </c>
      <c r="B21" s="11" t="n">
        <f aca="false">'Run Costs'!B12</f>
        <v>2893.9992</v>
      </c>
      <c r="C21" s="11" t="n">
        <f aca="false">'Run Costs'!C12</f>
        <v>8894.796</v>
      </c>
      <c r="D21" s="11" t="n">
        <f aca="false">'Run Costs'!D12</f>
        <v>24258.78</v>
      </c>
      <c r="E21" s="16" t="s">
        <v>23</v>
      </c>
    </row>
    <row r="22" customFormat="false" ht="15" hidden="false" customHeight="false" outlineLevel="0" collapsed="false">
      <c r="A22" s="13" t="s">
        <v>24</v>
      </c>
      <c r="B22" s="14" t="n">
        <f aca="false">B17+B21</f>
        <v>54622.8162</v>
      </c>
      <c r="C22" s="14" t="n">
        <f aca="false">C17+C21</f>
        <v>99514.5585</v>
      </c>
      <c r="D22" s="14" t="n">
        <f aca="false">D17+D21</f>
        <v>166512.0195</v>
      </c>
      <c r="E22" s="15" t="s">
        <v>25</v>
      </c>
    </row>
    <row r="23" customFormat="false" ht="15" hidden="false" customHeight="false" outlineLevel="0" collapsed="false">
      <c r="A23" s="16" t="s">
        <v>26</v>
      </c>
      <c r="B23" s="18" t="n">
        <f aca="false">'Labor Costs'!F8/B15</f>
        <v>0.974265465997415</v>
      </c>
      <c r="C23" s="18" t="n">
        <f aca="false">'Labor Costs'!G8/C15</f>
        <v>0.947972027624769</v>
      </c>
      <c r="D23" s="18" t="n">
        <f aca="false">'Labor Costs'!H8/D15</f>
        <v>0.907407103372152</v>
      </c>
      <c r="E23" s="16" t="s">
        <v>27</v>
      </c>
    </row>
    <row r="24" customFormat="false" ht="15" hidden="false" customHeight="false" outlineLevel="0" collapsed="false">
      <c r="A24" s="16" t="s">
        <v>28</v>
      </c>
      <c r="B24" s="19" t="n">
        <f aca="false">'Run Costs'!B11/B21</f>
        <v>0.995162680072614</v>
      </c>
      <c r="C24" s="19" t="n">
        <f aca="false">'Run Costs'!C11/C21</f>
        <v>0.971354486376079</v>
      </c>
      <c r="D24" s="19" t="n">
        <f aca="false">'Run Costs'!D11/D21</f>
        <v>0.949759221197439</v>
      </c>
      <c r="E24" s="16" t="s">
        <v>29</v>
      </c>
    </row>
    <row r="26" customFormat="false" ht="15" hidden="false" customHeight="false" outlineLevel="0" collapsed="false">
      <c r="A26" s="3" t="s">
        <v>30</v>
      </c>
      <c r="B26" s="4"/>
      <c r="C26" s="4"/>
      <c r="D26" s="4"/>
      <c r="E26" s="4"/>
    </row>
    <row r="27" customFormat="false" ht="15" hidden="false" customHeight="false" outlineLevel="0" collapsed="false">
      <c r="A27" s="20" t="str">
        <f aca="false">"Base case: about "&amp;TEXT(C17,"$#,##0")&amp;" to finish Phases 1 to 3, then about "&amp;TEXT(C21,"$#,##0")&amp;" a year to run."</f>
        <v>Base case: about $90,620 to finish Phases 1 to 3, then about $8,895 a year to run.</v>
      </c>
      <c r="B27" s="20"/>
      <c r="C27" s="20"/>
      <c r="D27" s="20"/>
      <c r="E27" s="20"/>
    </row>
    <row r="28" customFormat="false" ht="15" hidden="false" customHeight="false" outlineLevel="0" collapsed="false">
      <c r="A28" s="20" t="str">
        <f aca="false">"People time is "&amp;TEXT(C23,"0%")&amp;" of the base build cost, so the rate and hours assumptions matter far more than hardware or SMS fees."</f>
        <v>People time is 95% of the base build cost, so the rate and hours assumptions matter far more than hardware or SMS fees.</v>
      </c>
      <c r="B28" s="20"/>
      <c r="C28" s="20"/>
      <c r="D28" s="20"/>
      <c r="E28" s="20"/>
    </row>
    <row r="29" customFormat="false" ht="15" hidden="false" customHeight="false" outlineLevel="0" collapsed="false">
      <c r="A29" s="20" t="str">
        <f aca="false">"Maintenance is "&amp;TEXT(C24,"0%")&amp;" of base annual run cost; SMS costs are negligible at pilot volumes."</f>
        <v>Maintenance is 97% of base annual run cost; SMS costs are negligible at pilot volumes.</v>
      </c>
      <c r="B29" s="20"/>
      <c r="C29" s="20"/>
      <c r="D29" s="20"/>
      <c r="E29" s="20"/>
    </row>
    <row r="31" customFormat="false" ht="15" hidden="false" customHeight="false" outlineLevel="0" collapsed="false">
      <c r="A31" s="3" t="s">
        <v>31</v>
      </c>
      <c r="B31" s="4"/>
      <c r="C31" s="4"/>
      <c r="D31" s="4"/>
      <c r="E31" s="4"/>
    </row>
    <row r="32" customFormat="false" ht="30" hidden="false" customHeight="true" outlineLevel="0" collapsed="false">
      <c r="A32" s="20" t="s">
        <v>32</v>
      </c>
      <c r="B32" s="20"/>
      <c r="C32" s="20"/>
      <c r="D32" s="20"/>
      <c r="E32" s="20"/>
    </row>
    <row r="33" customFormat="false" ht="30" hidden="false" customHeight="true" outlineLevel="0" collapsed="false">
      <c r="A33" s="20" t="s">
        <v>33</v>
      </c>
      <c r="B33" s="20"/>
      <c r="C33" s="20"/>
      <c r="D33" s="20"/>
      <c r="E33" s="20"/>
    </row>
    <row r="34" customFormat="false" ht="30" hidden="false" customHeight="true" outlineLevel="0" collapsed="false">
      <c r="A34" s="20" t="s">
        <v>34</v>
      </c>
      <c r="B34" s="20"/>
      <c r="C34" s="20"/>
      <c r="D34" s="20"/>
      <c r="E34" s="20"/>
    </row>
    <row r="35" customFormat="false" ht="30" hidden="false" customHeight="true" outlineLevel="0" collapsed="false">
      <c r="A35" s="20" t="s">
        <v>35</v>
      </c>
      <c r="B35" s="20"/>
      <c r="C35" s="20"/>
      <c r="D35" s="20"/>
      <c r="E35" s="20"/>
    </row>
    <row r="36" customFormat="false" ht="30" hidden="false" customHeight="true" outlineLevel="0" collapsed="false">
      <c r="A36" s="20" t="s">
        <v>36</v>
      </c>
      <c r="B36" s="20"/>
      <c r="C36" s="20"/>
      <c r="D36" s="20"/>
      <c r="E36" s="20"/>
    </row>
    <row r="38" customFormat="false" ht="15" hidden="false" customHeight="false" outlineLevel="0" collapsed="false">
      <c r="A38" s="3" t="s">
        <v>37</v>
      </c>
      <c r="B38" s="4"/>
      <c r="C38" s="4"/>
      <c r="D38" s="4"/>
      <c r="E38" s="4"/>
    </row>
    <row r="39" customFormat="false" ht="33.75" hidden="false" customHeight="true" outlineLevel="0" collapsed="false">
      <c r="A39" s="9" t="s">
        <v>38</v>
      </c>
      <c r="B39" s="9" t="s">
        <v>9</v>
      </c>
      <c r="C39" s="9" t="s">
        <v>10</v>
      </c>
      <c r="D39" s="9" t="s">
        <v>11</v>
      </c>
      <c r="E39" s="9" t="s">
        <v>12</v>
      </c>
    </row>
    <row r="40" customFormat="false" ht="15" hidden="false" customHeight="false" outlineLevel="0" collapsed="false">
      <c r="A40" s="16" t="s">
        <v>39</v>
      </c>
      <c r="B40" s="11" t="n">
        <f aca="false">'CV Options'!B45</f>
        <v>13752.85</v>
      </c>
      <c r="C40" s="11" t="n">
        <f aca="false">'CV Options'!C45</f>
        <v>34547.5</v>
      </c>
      <c r="D40" s="11" t="n">
        <f aca="false">'CV Options'!D45</f>
        <v>77538.6</v>
      </c>
      <c r="E40" s="16" t="s">
        <v>40</v>
      </c>
    </row>
    <row r="41" customFormat="false" ht="15" hidden="false" customHeight="false" outlineLevel="0" collapsed="false">
      <c r="A41" s="16" t="s">
        <v>41</v>
      </c>
      <c r="B41" s="11" t="n">
        <f aca="false">'CV Options'!B47</f>
        <v>-2403.3275</v>
      </c>
      <c r="C41" s="11" t="n">
        <f aca="false">'CV Options'!C47</f>
        <v>3787.75</v>
      </c>
      <c r="D41" s="11" t="n">
        <f aca="false">'CV Options'!D47</f>
        <v>16902.4725</v>
      </c>
      <c r="E41" s="16" t="s">
        <v>42</v>
      </c>
    </row>
    <row r="42" customFormat="false" ht="15" hidden="false" customHeight="false" outlineLevel="0" collapsed="false">
      <c r="A42" s="21" t="s">
        <v>43</v>
      </c>
      <c r="B42" s="21"/>
      <c r="C42" s="21"/>
      <c r="D42" s="21"/>
      <c r="E42" s="21"/>
    </row>
  </sheetData>
  <mergeCells count="9">
    <mergeCell ref="A27:E27"/>
    <mergeCell ref="A28:E28"/>
    <mergeCell ref="A29:E29"/>
    <mergeCell ref="A32:E32"/>
    <mergeCell ref="A33:E33"/>
    <mergeCell ref="A34:E34"/>
    <mergeCell ref="A35:E35"/>
    <mergeCell ref="A36:E36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3" t="s">
        <v>46</v>
      </c>
      <c r="B4" s="4"/>
      <c r="C4" s="4"/>
      <c r="D4" s="4"/>
      <c r="E4" s="4"/>
    </row>
    <row r="5" customFormat="false" ht="33.75" hidden="false" customHeight="true" outlineLevel="0" collapsed="false">
      <c r="A5" s="9" t="s">
        <v>47</v>
      </c>
      <c r="B5" s="9" t="s">
        <v>48</v>
      </c>
      <c r="C5" s="9" t="s">
        <v>49</v>
      </c>
      <c r="D5" s="9" t="s">
        <v>50</v>
      </c>
      <c r="E5" s="9" t="s">
        <v>51</v>
      </c>
    </row>
    <row r="6" customFormat="false" ht="15" hidden="false" customHeight="false" outlineLevel="0" collapsed="false">
      <c r="A6" s="16" t="s">
        <v>52</v>
      </c>
      <c r="B6" s="22" t="n">
        <v>60</v>
      </c>
      <c r="C6" s="22" t="n">
        <v>90</v>
      </c>
      <c r="D6" s="22" t="n">
        <v>120</v>
      </c>
      <c r="E6" s="12" t="s">
        <v>53</v>
      </c>
    </row>
    <row r="7" customFormat="false" ht="15" hidden="false" customHeight="false" outlineLevel="0" collapsed="false">
      <c r="A7" s="16" t="s">
        <v>54</v>
      </c>
      <c r="B7" s="23" t="n">
        <v>0.1</v>
      </c>
      <c r="C7" s="23" t="n">
        <v>0.15</v>
      </c>
      <c r="D7" s="23" t="n">
        <v>0.2</v>
      </c>
      <c r="E7" s="12" t="s">
        <v>55</v>
      </c>
    </row>
    <row r="8" customFormat="false" ht="15" hidden="false" customHeight="false" outlineLevel="0" collapsed="false">
      <c r="A8" s="16" t="s">
        <v>56</v>
      </c>
      <c r="B8" s="24" t="n">
        <v>0.15</v>
      </c>
      <c r="C8" s="24" t="n">
        <v>0.25</v>
      </c>
      <c r="D8" s="24" t="n">
        <v>0.35</v>
      </c>
      <c r="E8" s="12" t="s">
        <v>57</v>
      </c>
    </row>
    <row r="9" customFormat="false" ht="15" hidden="false" customHeight="false" outlineLevel="0" collapsed="false">
      <c r="A9" s="16" t="s">
        <v>58</v>
      </c>
      <c r="B9" s="25" t="n">
        <v>5</v>
      </c>
      <c r="C9" s="25" t="n">
        <v>15</v>
      </c>
      <c r="D9" s="25" t="n">
        <v>30</v>
      </c>
      <c r="E9" s="12" t="s">
        <v>59</v>
      </c>
    </row>
    <row r="10" customFormat="false" ht="15" hidden="false" customHeight="false" outlineLevel="0" collapsed="false">
      <c r="A10" s="16" t="s">
        <v>60</v>
      </c>
      <c r="B10" s="25" t="n">
        <v>1</v>
      </c>
      <c r="C10" s="25" t="n">
        <v>5</v>
      </c>
      <c r="D10" s="25" t="n">
        <v>25</v>
      </c>
      <c r="E10" s="12" t="s">
        <v>55</v>
      </c>
    </row>
    <row r="11" customFormat="false" ht="15" hidden="false" customHeight="false" outlineLevel="0" collapsed="false">
      <c r="A11" s="16" t="s">
        <v>61</v>
      </c>
      <c r="B11" s="25" t="n">
        <v>1</v>
      </c>
      <c r="C11" s="25" t="n">
        <v>1</v>
      </c>
      <c r="D11" s="25" t="n">
        <v>1</v>
      </c>
      <c r="E11" s="12" t="s">
        <v>62</v>
      </c>
    </row>
    <row r="12" customFormat="false" ht="15" hidden="false" customHeight="false" outlineLevel="0" collapsed="false">
      <c r="A12" s="16" t="s">
        <v>63</v>
      </c>
      <c r="B12" s="26" t="n">
        <v>0</v>
      </c>
      <c r="C12" s="26" t="n">
        <v>20</v>
      </c>
      <c r="D12" s="26" t="n">
        <v>100</v>
      </c>
      <c r="E12" s="12" t="s">
        <v>64</v>
      </c>
    </row>
    <row r="13" customFormat="false" ht="15" hidden="false" customHeight="false" outlineLevel="0" collapsed="false">
      <c r="A13" s="16" t="s">
        <v>65</v>
      </c>
      <c r="B13" s="25" t="n">
        <v>4</v>
      </c>
      <c r="C13" s="25" t="n">
        <v>8</v>
      </c>
      <c r="D13" s="25" t="n">
        <v>16</v>
      </c>
      <c r="E13" s="12" t="s">
        <v>55</v>
      </c>
    </row>
    <row r="15" customFormat="false" ht="15" hidden="false" customHeight="false" outlineLevel="0" collapsed="false">
      <c r="A15" s="3" t="s">
        <v>66</v>
      </c>
      <c r="B15" s="4"/>
      <c r="C15" s="4"/>
      <c r="D15" s="4"/>
      <c r="E15" s="4"/>
    </row>
    <row r="16" customFormat="false" ht="33.75" hidden="false" customHeight="true" outlineLevel="0" collapsed="false">
      <c r="A16" s="9" t="s">
        <v>67</v>
      </c>
      <c r="B16" s="9" t="s">
        <v>68</v>
      </c>
      <c r="C16" s="9" t="s">
        <v>69</v>
      </c>
      <c r="D16" s="9"/>
      <c r="E16" s="9" t="s">
        <v>70</v>
      </c>
    </row>
    <row r="17" customFormat="false" ht="15" hidden="false" customHeight="false" outlineLevel="0" collapsed="false">
      <c r="A17" s="16" t="s">
        <v>71</v>
      </c>
      <c r="B17" s="27" t="n">
        <v>89.95</v>
      </c>
      <c r="C17" s="16" t="s">
        <v>72</v>
      </c>
      <c r="D17" s="16"/>
      <c r="E17" s="12" t="s">
        <v>73</v>
      </c>
    </row>
    <row r="18" customFormat="false" ht="15" hidden="false" customHeight="false" outlineLevel="0" collapsed="false">
      <c r="A18" s="16" t="s">
        <v>74</v>
      </c>
      <c r="B18" s="26" t="n">
        <v>250</v>
      </c>
      <c r="C18" s="16" t="s">
        <v>72</v>
      </c>
      <c r="D18" s="16"/>
      <c r="E18" s="12" t="s">
        <v>75</v>
      </c>
    </row>
    <row r="19" customFormat="false" ht="23.85" hidden="false" customHeight="false" outlineLevel="0" collapsed="false">
      <c r="A19" s="16" t="s">
        <v>76</v>
      </c>
      <c r="B19" s="28" t="n">
        <v>0.0083</v>
      </c>
      <c r="C19" s="16" t="s">
        <v>77</v>
      </c>
      <c r="D19" s="16"/>
      <c r="E19" s="12" t="s">
        <v>78</v>
      </c>
    </row>
    <row r="20" customFormat="false" ht="15" hidden="false" customHeight="false" outlineLevel="0" collapsed="false">
      <c r="A20" s="16" t="s">
        <v>79</v>
      </c>
      <c r="B20" s="25" t="n">
        <v>2</v>
      </c>
      <c r="C20" s="16" t="s">
        <v>80</v>
      </c>
      <c r="D20" s="16"/>
      <c r="E20" s="12" t="s">
        <v>81</v>
      </c>
    </row>
    <row r="21" customFormat="false" ht="15" hidden="false" customHeight="false" outlineLevel="0" collapsed="false">
      <c r="A21" s="16" t="s">
        <v>82</v>
      </c>
      <c r="B21" s="29" t="n">
        <f aca="false">B19*B20</f>
        <v>0.0166</v>
      </c>
      <c r="C21" s="16" t="s">
        <v>83</v>
      </c>
      <c r="D21" s="16"/>
      <c r="E21" s="12" t="s">
        <v>84</v>
      </c>
    </row>
    <row r="22" customFormat="false" ht="15" hidden="false" customHeight="false" outlineLevel="0" collapsed="false">
      <c r="A22" s="16" t="s">
        <v>85</v>
      </c>
      <c r="B22" s="27" t="n">
        <v>1.15</v>
      </c>
      <c r="C22" s="16" t="s">
        <v>86</v>
      </c>
      <c r="D22" s="16"/>
      <c r="E22" s="12" t="s">
        <v>87</v>
      </c>
    </row>
    <row r="23" customFormat="false" ht="15" hidden="false" customHeight="false" outlineLevel="0" collapsed="false">
      <c r="A23" s="16" t="s">
        <v>88</v>
      </c>
      <c r="B23" s="26" t="n">
        <v>50</v>
      </c>
      <c r="C23" s="16" t="s">
        <v>89</v>
      </c>
      <c r="D23" s="16"/>
      <c r="E23" s="12" t="s">
        <v>55</v>
      </c>
    </row>
    <row r="24" customFormat="false" ht="15" hidden="false" customHeight="false" outlineLevel="0" collapsed="false">
      <c r="A24" s="16" t="s">
        <v>90</v>
      </c>
      <c r="B24" s="26" t="n">
        <v>80</v>
      </c>
      <c r="C24" s="16" t="s">
        <v>72</v>
      </c>
      <c r="D24" s="16"/>
      <c r="E24" s="1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33.75" hidden="false" customHeight="true" outlineLevel="0" collapsed="false">
      <c r="A4" s="9" t="s">
        <v>93</v>
      </c>
      <c r="B4" s="9" t="s">
        <v>94</v>
      </c>
      <c r="C4" s="9" t="s">
        <v>95</v>
      </c>
      <c r="D4" s="9" t="s">
        <v>96</v>
      </c>
      <c r="E4" s="9" t="s">
        <v>12</v>
      </c>
    </row>
    <row r="5" customFormat="false" ht="15" hidden="false" customHeight="false" outlineLevel="0" collapsed="false">
      <c r="A5" s="16" t="s">
        <v>13</v>
      </c>
      <c r="B5" s="12" t="s">
        <v>97</v>
      </c>
      <c r="C5" s="16" t="s">
        <v>98</v>
      </c>
      <c r="D5" s="30" t="n">
        <v>24</v>
      </c>
      <c r="E5" s="12" t="s">
        <v>99</v>
      </c>
    </row>
    <row r="6" customFormat="false" ht="15" hidden="false" customHeight="false" outlineLevel="0" collapsed="false">
      <c r="A6" s="16" t="s">
        <v>13</v>
      </c>
      <c r="B6" s="12" t="s">
        <v>100</v>
      </c>
      <c r="C6" s="16" t="s">
        <v>101</v>
      </c>
      <c r="D6" s="30" t="n">
        <v>12</v>
      </c>
      <c r="E6" s="12" t="s">
        <v>102</v>
      </c>
    </row>
    <row r="7" customFormat="false" ht="15" hidden="false" customHeight="false" outlineLevel="0" collapsed="false">
      <c r="A7" s="16" t="s">
        <v>13</v>
      </c>
      <c r="B7" s="12" t="s">
        <v>103</v>
      </c>
      <c r="C7" s="16" t="s">
        <v>104</v>
      </c>
      <c r="D7" s="30" t="n">
        <v>16</v>
      </c>
      <c r="E7" s="12" t="s">
        <v>105</v>
      </c>
    </row>
    <row r="8" customFormat="false" ht="15" hidden="false" customHeight="false" outlineLevel="0" collapsed="false">
      <c r="A8" s="16" t="s">
        <v>13</v>
      </c>
      <c r="B8" s="12" t="s">
        <v>106</v>
      </c>
      <c r="C8" s="16" t="s">
        <v>107</v>
      </c>
      <c r="D8" s="30" t="n">
        <v>24</v>
      </c>
      <c r="E8" s="12"/>
    </row>
    <row r="9" customFormat="false" ht="15" hidden="false" customHeight="false" outlineLevel="0" collapsed="false">
      <c r="A9" s="16" t="s">
        <v>13</v>
      </c>
      <c r="B9" s="12" t="s">
        <v>108</v>
      </c>
      <c r="C9" s="16" t="s">
        <v>109</v>
      </c>
      <c r="D9" s="30" t="n">
        <v>16</v>
      </c>
      <c r="E9" s="12" t="s">
        <v>110</v>
      </c>
    </row>
    <row r="10" customFormat="false" ht="15" hidden="false" customHeight="false" outlineLevel="0" collapsed="false">
      <c r="A10" s="16" t="s">
        <v>13</v>
      </c>
      <c r="B10" s="12" t="s">
        <v>111</v>
      </c>
      <c r="C10" s="16" t="s">
        <v>109</v>
      </c>
      <c r="D10" s="30" t="n">
        <v>12</v>
      </c>
      <c r="E10" s="12"/>
    </row>
    <row r="11" customFormat="false" ht="15" hidden="false" customHeight="false" outlineLevel="0" collapsed="false">
      <c r="A11" s="16" t="s">
        <v>13</v>
      </c>
      <c r="B11" s="12" t="s">
        <v>112</v>
      </c>
      <c r="C11" s="16" t="s">
        <v>113</v>
      </c>
      <c r="D11" s="30" t="n">
        <v>20</v>
      </c>
      <c r="E11" s="12"/>
    </row>
    <row r="12" customFormat="false" ht="15" hidden="false" customHeight="false" outlineLevel="0" collapsed="false">
      <c r="A12" s="16" t="s">
        <v>15</v>
      </c>
      <c r="B12" s="12" t="s">
        <v>114</v>
      </c>
      <c r="C12" s="16" t="s">
        <v>113</v>
      </c>
      <c r="D12" s="30" t="n">
        <v>40</v>
      </c>
      <c r="E12" s="12" t="s">
        <v>115</v>
      </c>
    </row>
    <row r="13" customFormat="false" ht="15" hidden="false" customHeight="false" outlineLevel="0" collapsed="false">
      <c r="A13" s="16" t="s">
        <v>15</v>
      </c>
      <c r="B13" s="12" t="s">
        <v>116</v>
      </c>
      <c r="C13" s="16" t="s">
        <v>113</v>
      </c>
      <c r="D13" s="30" t="n">
        <v>40</v>
      </c>
      <c r="E13" s="12"/>
    </row>
    <row r="14" customFormat="false" ht="15" hidden="false" customHeight="false" outlineLevel="0" collapsed="false">
      <c r="A14" s="16" t="s">
        <v>15</v>
      </c>
      <c r="B14" s="12" t="s">
        <v>117</v>
      </c>
      <c r="C14" s="16" t="s">
        <v>113</v>
      </c>
      <c r="D14" s="30" t="n">
        <v>24</v>
      </c>
      <c r="E14" s="12"/>
    </row>
    <row r="15" customFormat="false" ht="15" hidden="false" customHeight="false" outlineLevel="0" collapsed="false">
      <c r="A15" s="16" t="s">
        <v>15</v>
      </c>
      <c r="B15" s="12" t="s">
        <v>118</v>
      </c>
      <c r="C15" s="16" t="s">
        <v>113</v>
      </c>
      <c r="D15" s="30" t="n">
        <v>32</v>
      </c>
      <c r="E15" s="12"/>
    </row>
    <row r="16" customFormat="false" ht="15" hidden="false" customHeight="false" outlineLevel="0" collapsed="false">
      <c r="A16" s="16" t="s">
        <v>15</v>
      </c>
      <c r="B16" s="12" t="s">
        <v>119</v>
      </c>
      <c r="C16" s="16" t="s">
        <v>120</v>
      </c>
      <c r="D16" s="30" t="n">
        <v>80</v>
      </c>
      <c r="E16" s="12" t="s">
        <v>121</v>
      </c>
    </row>
    <row r="17" customFormat="false" ht="15" hidden="false" customHeight="false" outlineLevel="0" collapsed="false">
      <c r="A17" s="16" t="s">
        <v>15</v>
      </c>
      <c r="B17" s="12" t="s">
        <v>122</v>
      </c>
      <c r="C17" s="16" t="s">
        <v>113</v>
      </c>
      <c r="D17" s="30" t="n">
        <v>24</v>
      </c>
      <c r="E17" s="12"/>
    </row>
    <row r="18" customFormat="false" ht="15" hidden="false" customHeight="false" outlineLevel="0" collapsed="false">
      <c r="A18" s="16" t="s">
        <v>15</v>
      </c>
      <c r="B18" s="12" t="s">
        <v>123</v>
      </c>
      <c r="C18" s="16" t="s">
        <v>124</v>
      </c>
      <c r="D18" s="30" t="n">
        <v>40</v>
      </c>
      <c r="E18" s="12"/>
    </row>
    <row r="19" customFormat="false" ht="15" hidden="false" customHeight="false" outlineLevel="0" collapsed="false">
      <c r="A19" s="16" t="s">
        <v>16</v>
      </c>
      <c r="B19" s="12" t="s">
        <v>125</v>
      </c>
      <c r="C19" s="16" t="s">
        <v>126</v>
      </c>
      <c r="D19" s="30" t="n">
        <v>80</v>
      </c>
      <c r="E19" s="12"/>
    </row>
    <row r="20" customFormat="false" ht="15" hidden="false" customHeight="false" outlineLevel="0" collapsed="false">
      <c r="A20" s="16" t="s">
        <v>16</v>
      </c>
      <c r="B20" s="12" t="s">
        <v>127</v>
      </c>
      <c r="C20" s="16" t="s">
        <v>124</v>
      </c>
      <c r="D20" s="30" t="n">
        <v>100</v>
      </c>
      <c r="E20" s="12" t="s">
        <v>128</v>
      </c>
    </row>
    <row r="21" customFormat="false" ht="15" hidden="false" customHeight="false" outlineLevel="0" collapsed="false">
      <c r="A21" s="16" t="s">
        <v>16</v>
      </c>
      <c r="B21" s="12" t="s">
        <v>129</v>
      </c>
      <c r="C21" s="16" t="s">
        <v>126</v>
      </c>
      <c r="D21" s="30" t="n">
        <v>40</v>
      </c>
      <c r="E21" s="12"/>
    </row>
    <row r="22" customFormat="false" ht="15" hidden="false" customHeight="false" outlineLevel="0" collapsed="false">
      <c r="A22" s="16" t="s">
        <v>16</v>
      </c>
      <c r="B22" s="12" t="s">
        <v>130</v>
      </c>
      <c r="C22" s="16" t="s">
        <v>113</v>
      </c>
      <c r="D22" s="30" t="n">
        <v>40</v>
      </c>
      <c r="E22" s="12"/>
    </row>
    <row r="24" customFormat="false" ht="15" hidden="false" customHeight="false" outlineLevel="0" collapsed="false">
      <c r="A24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33.75" hidden="false" customHeight="true" outlineLevel="0" collapsed="false">
      <c r="A4" s="9" t="s">
        <v>93</v>
      </c>
      <c r="B4" s="9" t="s">
        <v>96</v>
      </c>
      <c r="C4" s="9" t="s">
        <v>134</v>
      </c>
      <c r="D4" s="9" t="s">
        <v>135</v>
      </c>
      <c r="E4" s="9" t="s">
        <v>136</v>
      </c>
      <c r="F4" s="9" t="s">
        <v>137</v>
      </c>
      <c r="G4" s="9" t="s">
        <v>138</v>
      </c>
      <c r="H4" s="9" t="s">
        <v>139</v>
      </c>
    </row>
    <row r="5" customFormat="false" ht="15" hidden="false" customHeight="false" outlineLevel="0" collapsed="false">
      <c r="A5" s="10" t="s">
        <v>13</v>
      </c>
      <c r="B5" s="31" t="n">
        <f aca="false">SUMIF('Work Breakdown'!$A$5:$A$22,$A5,'Work Breakdown'!$D$5:$D$22)</f>
        <v>124</v>
      </c>
      <c r="C5" s="32" t="n">
        <f aca="false">$B5*(1+Assumptions!B$7)</f>
        <v>136.4</v>
      </c>
      <c r="D5" s="32" t="n">
        <f aca="false">$B5*(1+Assumptions!C$7)</f>
        <v>142.6</v>
      </c>
      <c r="E5" s="32" t="n">
        <f aca="false">$B5*(1+Assumptions!D$7)</f>
        <v>148.8</v>
      </c>
      <c r="F5" s="17" t="n">
        <f aca="false">C5*Assumptions!B$6</f>
        <v>8184</v>
      </c>
      <c r="G5" s="17" t="n">
        <f aca="false">D5*Assumptions!C$6</f>
        <v>12834</v>
      </c>
      <c r="H5" s="17" t="n">
        <f aca="false">E5*Assumptions!D$6</f>
        <v>17856</v>
      </c>
    </row>
    <row r="6" customFormat="false" ht="15" hidden="false" customHeight="false" outlineLevel="0" collapsed="false">
      <c r="A6" s="10" t="s">
        <v>15</v>
      </c>
      <c r="B6" s="31" t="n">
        <f aca="false">SUMIF('Work Breakdown'!$A$5:$A$22,$A6,'Work Breakdown'!$D$5:$D$22)</f>
        <v>280</v>
      </c>
      <c r="C6" s="32" t="n">
        <f aca="false">$B6*(1+Assumptions!B$7)</f>
        <v>308</v>
      </c>
      <c r="D6" s="32" t="n">
        <f aca="false">$B6*(1+Assumptions!C$7)</f>
        <v>322</v>
      </c>
      <c r="E6" s="32" t="n">
        <f aca="false">$B6*(1+Assumptions!D$7)</f>
        <v>336</v>
      </c>
      <c r="F6" s="17" t="n">
        <f aca="false">C6*Assumptions!B$6</f>
        <v>18480</v>
      </c>
      <c r="G6" s="17" t="n">
        <f aca="false">D6*Assumptions!C$6</f>
        <v>28980</v>
      </c>
      <c r="H6" s="17" t="n">
        <f aca="false">E6*Assumptions!D$6</f>
        <v>40320</v>
      </c>
    </row>
    <row r="7" customFormat="false" ht="15" hidden="false" customHeight="false" outlineLevel="0" collapsed="false">
      <c r="A7" s="10" t="s">
        <v>16</v>
      </c>
      <c r="B7" s="31" t="n">
        <f aca="false">SUMIF('Work Breakdown'!$A$5:$A$22,$A7,'Work Breakdown'!$D$5:$D$22)</f>
        <v>260</v>
      </c>
      <c r="C7" s="32" t="n">
        <f aca="false">$B7*(1+Assumptions!B$7)</f>
        <v>286</v>
      </c>
      <c r="D7" s="32" t="n">
        <f aca="false">$B7*(1+Assumptions!C$7)</f>
        <v>299</v>
      </c>
      <c r="E7" s="32" t="n">
        <f aca="false">$B7*(1+Assumptions!D$7)</f>
        <v>312</v>
      </c>
      <c r="F7" s="17" t="n">
        <f aca="false">C7*Assumptions!B$6</f>
        <v>17160</v>
      </c>
      <c r="G7" s="17" t="n">
        <f aca="false">D7*Assumptions!C$6</f>
        <v>26910</v>
      </c>
      <c r="H7" s="17" t="n">
        <f aca="false">E7*Assumptions!D$6</f>
        <v>37440</v>
      </c>
    </row>
    <row r="8" customFormat="false" ht="15" hidden="false" customHeight="false" outlineLevel="0" collapsed="false">
      <c r="A8" s="13" t="s">
        <v>140</v>
      </c>
      <c r="B8" s="33" t="n">
        <f aca="false">SUM(B5:B7)</f>
        <v>664</v>
      </c>
      <c r="C8" s="33" t="n">
        <f aca="false">SUM(C5:C7)</f>
        <v>730.4</v>
      </c>
      <c r="D8" s="33" t="n">
        <f aca="false">SUM(D5:D7)</f>
        <v>763.6</v>
      </c>
      <c r="E8" s="33" t="n">
        <f aca="false">SUM(E5:E7)</f>
        <v>796.8</v>
      </c>
      <c r="F8" s="14" t="n">
        <f aca="false">SUM(F5:F7)</f>
        <v>43824</v>
      </c>
      <c r="G8" s="14" t="n">
        <f aca="false">SUM(G5:G7)</f>
        <v>68724</v>
      </c>
      <c r="H8" s="14" t="n">
        <f aca="false">SUM(H5:H7)</f>
        <v>95616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4" min="3" style="0" width="14"/>
    <col collapsed="false" customWidth="true" hidden="false" outlineLevel="0" max="7" min="5" style="0" width="11"/>
    <col collapsed="false" customWidth="true" hidden="false" outlineLevel="0" max="10" min="8" style="0" width="14"/>
    <col collapsed="false" customWidth="true" hidden="false" outlineLevel="0" max="11" min="11" style="0" width="54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33.75" hidden="false" customHeight="true" outlineLevel="0" collapsed="false">
      <c r="A4" s="9" t="s">
        <v>93</v>
      </c>
      <c r="B4" s="9" t="s">
        <v>67</v>
      </c>
      <c r="C4" s="9" t="s">
        <v>69</v>
      </c>
      <c r="D4" s="9" t="s">
        <v>143</v>
      </c>
      <c r="E4" s="9" t="s">
        <v>144</v>
      </c>
      <c r="F4" s="9" t="s">
        <v>145</v>
      </c>
      <c r="G4" s="9" t="s">
        <v>146</v>
      </c>
      <c r="H4" s="9" t="s">
        <v>147</v>
      </c>
      <c r="I4" s="9" t="s">
        <v>148</v>
      </c>
      <c r="J4" s="9" t="s">
        <v>149</v>
      </c>
      <c r="K4" s="9" t="s">
        <v>12</v>
      </c>
    </row>
    <row r="5" customFormat="false" ht="15" hidden="false" customHeight="false" outlineLevel="0" collapsed="false">
      <c r="A5" s="16" t="s">
        <v>13</v>
      </c>
      <c r="B5" s="12" t="s">
        <v>150</v>
      </c>
      <c r="C5" s="16" t="s">
        <v>151</v>
      </c>
      <c r="D5" s="34" t="n">
        <f aca="false">Assumptions!B17</f>
        <v>89.95</v>
      </c>
      <c r="E5" s="25" t="n">
        <v>1</v>
      </c>
      <c r="F5" s="25" t="n">
        <v>1</v>
      </c>
      <c r="G5" s="25" t="n">
        <v>2</v>
      </c>
      <c r="H5" s="35" t="n">
        <f aca="false">$D5*E5</f>
        <v>89.95</v>
      </c>
      <c r="I5" s="35" t="n">
        <f aca="false">$D5*F5</f>
        <v>89.95</v>
      </c>
      <c r="J5" s="35" t="n">
        <f aca="false">$D5*G5</f>
        <v>179.9</v>
      </c>
      <c r="K5" s="12" t="s">
        <v>152</v>
      </c>
    </row>
    <row r="6" customFormat="false" ht="15" hidden="false" customHeight="false" outlineLevel="0" collapsed="false">
      <c r="A6" s="16" t="s">
        <v>13</v>
      </c>
      <c r="B6" s="12" t="s">
        <v>153</v>
      </c>
      <c r="C6" s="16" t="s">
        <v>151</v>
      </c>
      <c r="D6" s="34" t="n">
        <f aca="false">Assumptions!B18</f>
        <v>250</v>
      </c>
      <c r="E6" s="25" t="n">
        <v>1</v>
      </c>
      <c r="F6" s="25" t="n">
        <v>1</v>
      </c>
      <c r="G6" s="25" t="n">
        <v>2</v>
      </c>
      <c r="H6" s="35" t="n">
        <f aca="false">$D6*E6</f>
        <v>250</v>
      </c>
      <c r="I6" s="35" t="n">
        <f aca="false">$D6*F6</f>
        <v>250</v>
      </c>
      <c r="J6" s="35" t="n">
        <f aca="false">$D6*G6</f>
        <v>500</v>
      </c>
      <c r="K6" s="12"/>
    </row>
    <row r="7" customFormat="false" ht="15" hidden="false" customHeight="false" outlineLevel="0" collapsed="false">
      <c r="A7" s="16" t="s">
        <v>13</v>
      </c>
      <c r="B7" s="12" t="s">
        <v>154</v>
      </c>
      <c r="C7" s="16" t="s">
        <v>155</v>
      </c>
      <c r="D7" s="34" t="n">
        <f aca="false">Assumptions!B22</f>
        <v>1.15</v>
      </c>
      <c r="E7" s="25" t="n">
        <v>6</v>
      </c>
      <c r="F7" s="25" t="n">
        <v>9</v>
      </c>
      <c r="G7" s="25" t="n">
        <v>12</v>
      </c>
      <c r="H7" s="35" t="n">
        <f aca="false">$D7*E7</f>
        <v>6.9</v>
      </c>
      <c r="I7" s="35" t="n">
        <f aca="false">$D7*F7</f>
        <v>10.35</v>
      </c>
      <c r="J7" s="35" t="n">
        <f aca="false">$D7*G7</f>
        <v>13.8</v>
      </c>
      <c r="K7" s="12" t="s">
        <v>156</v>
      </c>
    </row>
    <row r="8" customFormat="false" ht="15" hidden="false" customHeight="false" outlineLevel="0" collapsed="false">
      <c r="A8" s="16" t="s">
        <v>13</v>
      </c>
      <c r="B8" s="12" t="s">
        <v>157</v>
      </c>
      <c r="C8" s="16" t="s">
        <v>158</v>
      </c>
      <c r="D8" s="36" t="n">
        <f aca="false">Assumptions!B21</f>
        <v>0.0166</v>
      </c>
      <c r="E8" s="25" t="n">
        <v>50</v>
      </c>
      <c r="F8" s="25" t="n">
        <v>100</v>
      </c>
      <c r="G8" s="25" t="n">
        <v>200</v>
      </c>
      <c r="H8" s="35" t="n">
        <f aca="false">$D8*E8</f>
        <v>0.83</v>
      </c>
      <c r="I8" s="35" t="n">
        <f aca="false">$D8*F8</f>
        <v>1.66</v>
      </c>
      <c r="J8" s="35" t="n">
        <f aca="false">$D8*G8</f>
        <v>3.32</v>
      </c>
      <c r="K8" s="12" t="s">
        <v>159</v>
      </c>
    </row>
    <row r="9" customFormat="false" ht="15" hidden="false" customHeight="false" outlineLevel="0" collapsed="false">
      <c r="A9" s="16" t="s">
        <v>15</v>
      </c>
      <c r="B9" s="12" t="s">
        <v>160</v>
      </c>
      <c r="C9" s="16" t="s">
        <v>151</v>
      </c>
      <c r="D9" s="34" t="n">
        <f aca="false">Assumptions!B17</f>
        <v>89.95</v>
      </c>
      <c r="E9" s="25" t="n">
        <v>2</v>
      </c>
      <c r="F9" s="25" t="n">
        <v>3</v>
      </c>
      <c r="G9" s="25" t="n">
        <v>5</v>
      </c>
      <c r="H9" s="35" t="n">
        <f aca="false">$D9*E9</f>
        <v>179.9</v>
      </c>
      <c r="I9" s="35" t="n">
        <f aca="false">$D9*F9</f>
        <v>269.85</v>
      </c>
      <c r="J9" s="35" t="n">
        <f aca="false">$D9*G9</f>
        <v>449.75</v>
      </c>
      <c r="K9" s="12" t="s">
        <v>161</v>
      </c>
    </row>
    <row r="10" customFormat="false" ht="15" hidden="false" customHeight="false" outlineLevel="0" collapsed="false">
      <c r="A10" s="16" t="s">
        <v>15</v>
      </c>
      <c r="B10" s="12" t="s">
        <v>162</v>
      </c>
      <c r="C10" s="16" t="s">
        <v>151</v>
      </c>
      <c r="D10" s="34" t="n">
        <f aca="false">Assumptions!B18</f>
        <v>250</v>
      </c>
      <c r="E10" s="25" t="n">
        <v>1</v>
      </c>
      <c r="F10" s="25" t="n">
        <v>2</v>
      </c>
      <c r="G10" s="25" t="n">
        <v>3</v>
      </c>
      <c r="H10" s="35" t="n">
        <f aca="false">$D10*E10</f>
        <v>250</v>
      </c>
      <c r="I10" s="35" t="n">
        <f aca="false">$D10*F10</f>
        <v>500</v>
      </c>
      <c r="J10" s="35" t="n">
        <f aca="false">$D10*G10</f>
        <v>750</v>
      </c>
      <c r="K10" s="12"/>
    </row>
    <row r="11" customFormat="false" ht="15" hidden="false" customHeight="false" outlineLevel="0" collapsed="false">
      <c r="A11" s="16" t="s">
        <v>15</v>
      </c>
      <c r="B11" s="12" t="s">
        <v>163</v>
      </c>
      <c r="C11" s="16" t="s">
        <v>164</v>
      </c>
      <c r="D11" s="34" t="n">
        <f aca="false">Assumptions!B23</f>
        <v>50</v>
      </c>
      <c r="E11" s="37" t="n">
        <f aca="false">Assumptions!B9</f>
        <v>5</v>
      </c>
      <c r="F11" s="37" t="n">
        <f aca="false">Assumptions!C9</f>
        <v>15</v>
      </c>
      <c r="G11" s="37" t="n">
        <f aca="false">Assumptions!D9</f>
        <v>30</v>
      </c>
      <c r="H11" s="35" t="n">
        <f aca="false">$D11*E11</f>
        <v>250</v>
      </c>
      <c r="I11" s="35" t="n">
        <f aca="false">$D11*F11</f>
        <v>750</v>
      </c>
      <c r="J11" s="35" t="n">
        <f aca="false">$D11*G11</f>
        <v>1500</v>
      </c>
      <c r="K11" s="12" t="s">
        <v>165</v>
      </c>
    </row>
    <row r="12" customFormat="false" ht="23.85" hidden="false" customHeight="false" outlineLevel="0" collapsed="false">
      <c r="A12" s="16" t="s">
        <v>15</v>
      </c>
      <c r="B12" s="12" t="s">
        <v>166</v>
      </c>
      <c r="C12" s="16" t="s">
        <v>167</v>
      </c>
      <c r="D12" s="27" t="n">
        <v>1</v>
      </c>
      <c r="E12" s="25" t="n">
        <v>0</v>
      </c>
      <c r="F12" s="25" t="n">
        <v>1500</v>
      </c>
      <c r="G12" s="25" t="n">
        <v>5000</v>
      </c>
      <c r="H12" s="35" t="n">
        <f aca="false">$D12*E12</f>
        <v>0</v>
      </c>
      <c r="I12" s="35" t="n">
        <f aca="false">$D12*F12</f>
        <v>1500</v>
      </c>
      <c r="J12" s="35" t="n">
        <f aca="false">$D12*G12</f>
        <v>5000</v>
      </c>
      <c r="K12" s="12" t="s">
        <v>168</v>
      </c>
    </row>
    <row r="13" customFormat="false" ht="15" hidden="false" customHeight="false" outlineLevel="0" collapsed="false">
      <c r="A13" s="16" t="s">
        <v>15</v>
      </c>
      <c r="B13" s="12" t="s">
        <v>169</v>
      </c>
      <c r="C13" s="16" t="s">
        <v>167</v>
      </c>
      <c r="D13" s="27" t="n">
        <v>1</v>
      </c>
      <c r="E13" s="25" t="n">
        <v>0</v>
      </c>
      <c r="F13" s="25" t="n">
        <v>120</v>
      </c>
      <c r="G13" s="25" t="n">
        <v>600</v>
      </c>
      <c r="H13" s="35" t="n">
        <f aca="false">$D13*E13</f>
        <v>0</v>
      </c>
      <c r="I13" s="35" t="n">
        <f aca="false">$D13*F13</f>
        <v>120</v>
      </c>
      <c r="J13" s="35" t="n">
        <f aca="false">$D13*G13</f>
        <v>600</v>
      </c>
      <c r="K13" s="12" t="s">
        <v>55</v>
      </c>
    </row>
    <row r="14" customFormat="false" ht="15" hidden="false" customHeight="false" outlineLevel="0" collapsed="false">
      <c r="A14" s="16" t="s">
        <v>16</v>
      </c>
      <c r="B14" s="12" t="s">
        <v>170</v>
      </c>
      <c r="C14" s="16" t="s">
        <v>151</v>
      </c>
      <c r="D14" s="34" t="n">
        <f aca="false">Assumptions!B24</f>
        <v>80</v>
      </c>
      <c r="E14" s="25" t="n">
        <v>1</v>
      </c>
      <c r="F14" s="25" t="n">
        <v>1</v>
      </c>
      <c r="G14" s="25" t="n">
        <v>2</v>
      </c>
      <c r="H14" s="35" t="n">
        <f aca="false">$D14*E14</f>
        <v>80</v>
      </c>
      <c r="I14" s="35" t="n">
        <f aca="false">$D14*F14</f>
        <v>80</v>
      </c>
      <c r="J14" s="35" t="n">
        <f aca="false">$D14*G14</f>
        <v>160</v>
      </c>
      <c r="K14" s="12"/>
    </row>
    <row r="15" customFormat="false" ht="15" hidden="false" customHeight="false" outlineLevel="0" collapsed="false">
      <c r="A15" s="16" t="s">
        <v>16</v>
      </c>
      <c r="B15" s="12" t="s">
        <v>171</v>
      </c>
      <c r="C15" s="16" t="s">
        <v>167</v>
      </c>
      <c r="D15" s="27" t="n">
        <v>1</v>
      </c>
      <c r="E15" s="25" t="n">
        <v>50</v>
      </c>
      <c r="F15" s="25" t="n">
        <v>200</v>
      </c>
      <c r="G15" s="25" t="n">
        <v>600</v>
      </c>
      <c r="H15" s="35" t="n">
        <f aca="false">$D15*E15</f>
        <v>50</v>
      </c>
      <c r="I15" s="35" t="n">
        <f aca="false">$D15*F15</f>
        <v>200</v>
      </c>
      <c r="J15" s="35" t="n">
        <f aca="false">$D15*G15</f>
        <v>600</v>
      </c>
      <c r="K15" s="12" t="s">
        <v>172</v>
      </c>
    </row>
    <row r="17" customFormat="false" ht="15" hidden="false" customHeight="false" outlineLevel="0" collapsed="false">
      <c r="A17" s="3" t="s">
        <v>173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customFormat="false" ht="15" hidden="false" customHeight="false" outlineLevel="0" collapsed="false">
      <c r="A18" s="10" t="s">
        <v>13</v>
      </c>
      <c r="B18" s="16"/>
      <c r="C18" s="16"/>
      <c r="D18" s="16"/>
      <c r="E18" s="16"/>
      <c r="F18" s="16"/>
      <c r="G18" s="16"/>
      <c r="H18" s="35" t="n">
        <f aca="false">SUMIF($A$5:$A$15,$A18,H$5:H$15)</f>
        <v>347.68</v>
      </c>
      <c r="I18" s="35" t="n">
        <f aca="false">SUMIF($A$5:$A$15,$A18,I$5:I$15)</f>
        <v>351.96</v>
      </c>
      <c r="J18" s="35" t="n">
        <f aca="false">SUMIF($A$5:$A$15,$A18,J$5:J$15)</f>
        <v>697.02</v>
      </c>
      <c r="K18" s="16"/>
    </row>
    <row r="19" customFormat="false" ht="15" hidden="false" customHeight="false" outlineLevel="0" collapsed="false">
      <c r="A19" s="10" t="s">
        <v>15</v>
      </c>
      <c r="B19" s="16"/>
      <c r="C19" s="16"/>
      <c r="D19" s="16"/>
      <c r="E19" s="16"/>
      <c r="F19" s="16"/>
      <c r="G19" s="16"/>
      <c r="H19" s="35" t="n">
        <f aca="false">SUMIF($A$5:$A$15,$A19,H$5:H$15)</f>
        <v>679.9</v>
      </c>
      <c r="I19" s="35" t="n">
        <f aca="false">SUMIF($A$5:$A$15,$A19,I$5:I$15)</f>
        <v>3139.85</v>
      </c>
      <c r="J19" s="35" t="n">
        <f aca="false">SUMIF($A$5:$A$15,$A19,J$5:J$15)</f>
        <v>8299.75</v>
      </c>
      <c r="K19" s="16"/>
    </row>
    <row r="20" customFormat="false" ht="15" hidden="false" customHeight="false" outlineLevel="0" collapsed="false">
      <c r="A20" s="10" t="s">
        <v>16</v>
      </c>
      <c r="B20" s="16"/>
      <c r="C20" s="16"/>
      <c r="D20" s="16"/>
      <c r="E20" s="16"/>
      <c r="F20" s="16"/>
      <c r="G20" s="16"/>
      <c r="H20" s="35" t="n">
        <f aca="false">SUMIF($A$5:$A$15,$A20,H$5:H$15)</f>
        <v>130</v>
      </c>
      <c r="I20" s="35" t="n">
        <f aca="false">SUMIF($A$5:$A$15,$A20,I$5:I$15)</f>
        <v>280</v>
      </c>
      <c r="J20" s="35" t="n">
        <f aca="false">SUMIF($A$5:$A$15,$A20,J$5:J$15)</f>
        <v>760</v>
      </c>
      <c r="K20" s="16"/>
    </row>
    <row r="21" customFormat="false" ht="15" hidden="false" customHeight="false" outlineLevel="0" collapsed="false">
      <c r="A21" s="13" t="s">
        <v>140</v>
      </c>
      <c r="B21" s="15"/>
      <c r="C21" s="15"/>
      <c r="D21" s="15"/>
      <c r="E21" s="15"/>
      <c r="F21" s="15"/>
      <c r="G21" s="15"/>
      <c r="H21" s="38" t="n">
        <f aca="false">SUM(H18:H20)</f>
        <v>1157.58</v>
      </c>
      <c r="I21" s="38" t="n">
        <f aca="false">SUM(I18:I20)</f>
        <v>3771.81</v>
      </c>
      <c r="J21" s="38" t="n">
        <f aca="false">SUM(J18:J20)</f>
        <v>9756.77</v>
      </c>
      <c r="K21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33.75" hidden="false" customHeight="true" outlineLevel="0" collapsed="false">
      <c r="A4" s="9" t="s">
        <v>67</v>
      </c>
      <c r="B4" s="9" t="s">
        <v>9</v>
      </c>
      <c r="C4" s="9" t="s">
        <v>10</v>
      </c>
      <c r="D4" s="9" t="s">
        <v>11</v>
      </c>
      <c r="E4" s="9" t="s">
        <v>12</v>
      </c>
    </row>
    <row r="5" customFormat="false" ht="15" hidden="false" customHeight="false" outlineLevel="0" collapsed="false">
      <c r="A5" s="16" t="s">
        <v>176</v>
      </c>
      <c r="B5" s="37" t="n">
        <f aca="false">Assumptions!B10</f>
        <v>1</v>
      </c>
      <c r="C5" s="37" t="n">
        <f aca="false">Assumptions!C10</f>
        <v>5</v>
      </c>
      <c r="D5" s="37" t="n">
        <f aca="false">Assumptions!D10</f>
        <v>25</v>
      </c>
      <c r="E5" s="12" t="s">
        <v>177</v>
      </c>
    </row>
    <row r="6" customFormat="false" ht="15" hidden="false" customHeight="false" outlineLevel="0" collapsed="false">
      <c r="A6" s="16" t="s">
        <v>178</v>
      </c>
      <c r="B6" s="37" t="n">
        <f aca="false">Assumptions!B11</f>
        <v>1</v>
      </c>
      <c r="C6" s="37" t="n">
        <f aca="false">Assumptions!C11</f>
        <v>1</v>
      </c>
      <c r="D6" s="37" t="n">
        <f aca="false">Assumptions!D11</f>
        <v>1</v>
      </c>
      <c r="E6" s="12" t="s">
        <v>177</v>
      </c>
    </row>
    <row r="7" customFormat="false" ht="15" hidden="false" customHeight="false" outlineLevel="0" collapsed="false">
      <c r="A7" s="16" t="s">
        <v>179</v>
      </c>
      <c r="B7" s="39" t="n">
        <f aca="false">B5*B6*12</f>
        <v>12</v>
      </c>
      <c r="C7" s="39" t="n">
        <f aca="false">C5*C6*12</f>
        <v>60</v>
      </c>
      <c r="D7" s="39" t="n">
        <f aca="false">D5*D6*12</f>
        <v>300</v>
      </c>
      <c r="E7" s="12" t="s">
        <v>180</v>
      </c>
    </row>
    <row r="8" customFormat="false" ht="15" hidden="false" customHeight="false" outlineLevel="0" collapsed="false">
      <c r="A8" s="16" t="s">
        <v>181</v>
      </c>
      <c r="B8" s="35" t="n">
        <f aca="false">B7*Assumptions!$B$21</f>
        <v>0.1992</v>
      </c>
      <c r="C8" s="35" t="n">
        <f aca="false">C7*Assumptions!$B$21</f>
        <v>0.996</v>
      </c>
      <c r="D8" s="35" t="n">
        <f aca="false">D7*Assumptions!$B$21</f>
        <v>4.98</v>
      </c>
      <c r="E8" s="12" t="s">
        <v>182</v>
      </c>
    </row>
    <row r="9" customFormat="false" ht="15" hidden="false" customHeight="false" outlineLevel="0" collapsed="false">
      <c r="A9" s="16" t="s">
        <v>183</v>
      </c>
      <c r="B9" s="35" t="n">
        <f aca="false">12*Assumptions!$B$22</f>
        <v>13.8</v>
      </c>
      <c r="C9" s="35" t="n">
        <f aca="false">12*Assumptions!$B$22</f>
        <v>13.8</v>
      </c>
      <c r="D9" s="35" t="n">
        <f aca="false">12*Assumptions!$B$22</f>
        <v>13.8</v>
      </c>
      <c r="E9" s="12" t="s">
        <v>184</v>
      </c>
    </row>
    <row r="10" customFormat="false" ht="15" hidden="false" customHeight="false" outlineLevel="0" collapsed="false">
      <c r="A10" s="16" t="s">
        <v>185</v>
      </c>
      <c r="B10" s="17" t="n">
        <f aca="false">Assumptions!B12*12</f>
        <v>0</v>
      </c>
      <c r="C10" s="17" t="n">
        <f aca="false">Assumptions!C12*12</f>
        <v>240</v>
      </c>
      <c r="D10" s="17" t="n">
        <f aca="false">Assumptions!D12*12</f>
        <v>1200</v>
      </c>
      <c r="E10" s="12" t="s">
        <v>186</v>
      </c>
    </row>
    <row r="11" customFormat="false" ht="15" hidden="false" customHeight="false" outlineLevel="0" collapsed="false">
      <c r="A11" s="16" t="s">
        <v>187</v>
      </c>
      <c r="B11" s="17" t="n">
        <f aca="false">Assumptions!B13*12*Assumptions!B6</f>
        <v>2880</v>
      </c>
      <c r="C11" s="17" t="n">
        <f aca="false">Assumptions!C13*12*Assumptions!C6</f>
        <v>8640</v>
      </c>
      <c r="D11" s="17" t="n">
        <f aca="false">Assumptions!D13*12*Assumptions!D6</f>
        <v>23040</v>
      </c>
      <c r="E11" s="12" t="s">
        <v>188</v>
      </c>
    </row>
    <row r="12" customFormat="false" ht="15" hidden="false" customHeight="false" outlineLevel="0" collapsed="false">
      <c r="A12" s="13" t="s">
        <v>22</v>
      </c>
      <c r="B12" s="14" t="n">
        <f aca="false">SUM(B8:B11)</f>
        <v>2893.9992</v>
      </c>
      <c r="C12" s="14" t="n">
        <f aca="false">SUM(C8:C11)</f>
        <v>8894.796</v>
      </c>
      <c r="D12" s="14" t="n">
        <f aca="false">SUM(D8:D11)</f>
        <v>24258.78</v>
      </c>
      <c r="E12" s="15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6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4" customFormat="false" ht="15" hidden="false" customHeight="false" outlineLevel="0" collapsed="false">
      <c r="A4" s="3" t="s">
        <v>192</v>
      </c>
      <c r="B4" s="4"/>
      <c r="C4" s="4"/>
      <c r="D4" s="4"/>
      <c r="E4" s="4"/>
    </row>
    <row r="5" customFormat="false" ht="33.75" hidden="false" customHeight="true" outlineLevel="0" collapsed="false">
      <c r="A5" s="9" t="s">
        <v>193</v>
      </c>
      <c r="B5" s="9" t="s">
        <v>9</v>
      </c>
      <c r="C5" s="9" t="s">
        <v>10</v>
      </c>
      <c r="D5" s="9" t="s">
        <v>11</v>
      </c>
      <c r="E5" s="9" t="s">
        <v>51</v>
      </c>
    </row>
    <row r="6" customFormat="false" ht="23.85" hidden="false" customHeight="false" outlineLevel="0" collapsed="false">
      <c r="A6" s="16" t="s">
        <v>194</v>
      </c>
      <c r="B6" s="25" t="n">
        <v>160</v>
      </c>
      <c r="C6" s="25" t="n">
        <v>240</v>
      </c>
      <c r="D6" s="25" t="n">
        <v>360</v>
      </c>
      <c r="E6" s="12" t="s">
        <v>195</v>
      </c>
    </row>
    <row r="7" customFormat="false" ht="15" hidden="false" customHeight="false" outlineLevel="0" collapsed="false">
      <c r="A7" s="16" t="s">
        <v>196</v>
      </c>
      <c r="B7" s="25" t="n">
        <v>25</v>
      </c>
      <c r="C7" s="25" t="n">
        <v>50</v>
      </c>
      <c r="D7" s="25" t="n">
        <v>100</v>
      </c>
      <c r="E7" s="12" t="s">
        <v>55</v>
      </c>
    </row>
    <row r="8" customFormat="false" ht="15" hidden="false" customHeight="false" outlineLevel="0" collapsed="false">
      <c r="A8" s="16" t="s">
        <v>197</v>
      </c>
      <c r="B8" s="25" t="n">
        <v>100</v>
      </c>
      <c r="C8" s="25" t="n">
        <v>200</v>
      </c>
      <c r="D8" s="25" t="n">
        <v>400</v>
      </c>
      <c r="E8" s="12" t="s">
        <v>55</v>
      </c>
    </row>
    <row r="9" customFormat="false" ht="23.85" hidden="false" customHeight="false" outlineLevel="0" collapsed="false">
      <c r="A9" s="16" t="s">
        <v>198</v>
      </c>
      <c r="B9" s="27" t="n">
        <v>1.49</v>
      </c>
      <c r="C9" s="27" t="n">
        <v>1.49</v>
      </c>
      <c r="D9" s="27" t="n">
        <v>1.49</v>
      </c>
      <c r="E9" s="12" t="s">
        <v>199</v>
      </c>
    </row>
    <row r="10" customFormat="false" ht="15" hidden="false" customHeight="false" outlineLevel="0" collapsed="false">
      <c r="A10" s="16" t="s">
        <v>200</v>
      </c>
      <c r="B10" s="25" t="n">
        <v>60</v>
      </c>
      <c r="C10" s="25" t="n">
        <v>120</v>
      </c>
      <c r="D10" s="25" t="n">
        <v>180</v>
      </c>
      <c r="E10" s="12" t="s">
        <v>201</v>
      </c>
    </row>
    <row r="11" customFormat="false" ht="15" hidden="false" customHeight="false" outlineLevel="0" collapsed="false">
      <c r="A11" s="16" t="s">
        <v>202</v>
      </c>
      <c r="B11" s="23" t="n">
        <v>0</v>
      </c>
      <c r="C11" s="23" t="n">
        <v>0</v>
      </c>
      <c r="D11" s="23" t="n">
        <v>0</v>
      </c>
      <c r="E11" s="12" t="s">
        <v>203</v>
      </c>
    </row>
    <row r="13" customFormat="false" ht="15" hidden="false" customHeight="false" outlineLevel="0" collapsed="false">
      <c r="A13" s="3" t="s">
        <v>204</v>
      </c>
      <c r="B13" s="4"/>
      <c r="C13" s="4"/>
      <c r="D13" s="4"/>
      <c r="E13" s="4"/>
    </row>
    <row r="14" customFormat="false" ht="33.75" hidden="false" customHeight="true" outlineLevel="0" collapsed="false">
      <c r="A14" s="9" t="s">
        <v>67</v>
      </c>
      <c r="B14" s="9" t="s">
        <v>9</v>
      </c>
      <c r="C14" s="9" t="s">
        <v>10</v>
      </c>
      <c r="D14" s="9" t="s">
        <v>11</v>
      </c>
      <c r="E14" s="9" t="s">
        <v>12</v>
      </c>
    </row>
    <row r="15" customFormat="false" ht="15" hidden="false" customHeight="false" outlineLevel="0" collapsed="false">
      <c r="A15" s="16" t="s">
        <v>205</v>
      </c>
      <c r="B15" s="31" t="n">
        <f aca="false">INDEX('Work Breakdown'!$D$5:$D$22,MATCH("Camera cross-check (face landmarks)",'Work Breakdown'!$B$5:$B$22,0))</f>
        <v>80</v>
      </c>
      <c r="C15" s="31" t="n">
        <f aca="false">INDEX('Work Breakdown'!$D$5:$D$22,MATCH("Camera cross-check (face landmarks)",'Work Breakdown'!$B$5:$B$22,0))</f>
        <v>80</v>
      </c>
      <c r="D15" s="31" t="n">
        <f aca="false">INDEX('Work Breakdown'!$D$5:$D$22,MATCH("Camera cross-check (face landmarks)",'Work Breakdown'!$B$5:$B$22,0))</f>
        <v>80</v>
      </c>
      <c r="E15" s="16" t="s">
        <v>206</v>
      </c>
    </row>
    <row r="16" customFormat="false" ht="15" hidden="false" customHeight="false" outlineLevel="0" collapsed="false">
      <c r="A16" s="16" t="s">
        <v>207</v>
      </c>
      <c r="B16" s="17" t="n">
        <f aca="false">B15*(1+Assumptions!B7)*Assumptions!B6</f>
        <v>5280</v>
      </c>
      <c r="C16" s="17" t="n">
        <f aca="false">C15*(1+Assumptions!C7)*Assumptions!C6</f>
        <v>8280</v>
      </c>
      <c r="D16" s="17" t="n">
        <f aca="false">D15*(1+Assumptions!D7)*Assumptions!D6</f>
        <v>11520</v>
      </c>
      <c r="E16" s="16" t="s">
        <v>208</v>
      </c>
    </row>
    <row r="17" customFormat="false" ht="15" hidden="false" customHeight="false" outlineLevel="0" collapsed="false">
      <c r="A17" s="16" t="s">
        <v>90</v>
      </c>
      <c r="B17" s="11" t="n">
        <f aca="false">'Non-Labor Costs'!H14</f>
        <v>80</v>
      </c>
      <c r="C17" s="11" t="n">
        <f aca="false">'Non-Labor Costs'!I14</f>
        <v>80</v>
      </c>
      <c r="D17" s="11" t="n">
        <f aca="false">'Non-Labor Costs'!J14</f>
        <v>160</v>
      </c>
      <c r="E17" s="16" t="s">
        <v>209</v>
      </c>
    </row>
    <row r="18" customFormat="false" ht="15" hidden="false" customHeight="false" outlineLevel="0" collapsed="false">
      <c r="A18" s="13" t="s">
        <v>210</v>
      </c>
      <c r="B18" s="14" t="n">
        <f aca="false">(B16+B17)*(1+Assumptions!B8)</f>
        <v>6164</v>
      </c>
      <c r="C18" s="14" t="n">
        <f aca="false">(C16+C17)*(1+Assumptions!C8)</f>
        <v>10450</v>
      </c>
      <c r="D18" s="14" t="n">
        <f aca="false">(D16+D17)*(1+Assumptions!D8)</f>
        <v>15768</v>
      </c>
      <c r="E18" s="15" t="s">
        <v>211</v>
      </c>
    </row>
    <row r="19" customFormat="false" ht="15" hidden="false" customHeight="false" outlineLevel="0" collapsed="false">
      <c r="A19" s="16" t="s">
        <v>212</v>
      </c>
      <c r="B19" s="11" t="n">
        <f aca="false">Summary!B17</f>
        <v>51728.817</v>
      </c>
      <c r="C19" s="11" t="n">
        <f aca="false">Summary!C17</f>
        <v>90619.7625</v>
      </c>
      <c r="D19" s="11" t="n">
        <f aca="false">Summary!D17</f>
        <v>142253.2395</v>
      </c>
      <c r="E19" s="16" t="s">
        <v>213</v>
      </c>
    </row>
    <row r="21" customFormat="false" ht="15" hidden="false" customHeight="false" outlineLevel="0" collapsed="false">
      <c r="A21" s="3" t="s">
        <v>214</v>
      </c>
      <c r="B21" s="4"/>
      <c r="C21" s="4"/>
      <c r="D21" s="4"/>
      <c r="E21" s="4"/>
    </row>
    <row r="22" customFormat="false" ht="33.75" hidden="false" customHeight="true" outlineLevel="0" collapsed="false">
      <c r="A22" s="9" t="s">
        <v>67</v>
      </c>
      <c r="B22" s="9" t="s">
        <v>9</v>
      </c>
      <c r="C22" s="9" t="s">
        <v>10</v>
      </c>
      <c r="D22" s="9" t="s">
        <v>11</v>
      </c>
      <c r="E22" s="9" t="s">
        <v>12</v>
      </c>
    </row>
    <row r="23" customFormat="false" ht="15" hidden="false" customHeight="false" outlineLevel="0" collapsed="false">
      <c r="A23" s="16" t="s">
        <v>215</v>
      </c>
      <c r="B23" s="17" t="n">
        <f aca="false">B6*(1+Assumptions!B7)*Assumptions!B6</f>
        <v>10560</v>
      </c>
      <c r="C23" s="17" t="n">
        <f aca="false">C6*(1+Assumptions!C7)*Assumptions!C6</f>
        <v>24840</v>
      </c>
      <c r="D23" s="17" t="n">
        <f aca="false">D6*(1+Assumptions!D7)*Assumptions!D6</f>
        <v>51840</v>
      </c>
      <c r="E23" s="16" t="s">
        <v>216</v>
      </c>
    </row>
    <row r="24" customFormat="false" ht="15" hidden="false" customHeight="false" outlineLevel="0" collapsed="false">
      <c r="A24" s="16" t="s">
        <v>217</v>
      </c>
      <c r="B24" s="17" t="n">
        <f aca="false">B7*Assumptions!$B$23</f>
        <v>1250</v>
      </c>
      <c r="C24" s="17" t="n">
        <f aca="false">C7*Assumptions!$B$23</f>
        <v>2500</v>
      </c>
      <c r="D24" s="17" t="n">
        <f aca="false">D7*Assumptions!$B$23</f>
        <v>5000</v>
      </c>
      <c r="E24" s="16" t="s">
        <v>218</v>
      </c>
    </row>
    <row r="25" customFormat="false" ht="15" hidden="false" customHeight="false" outlineLevel="0" collapsed="false">
      <c r="A25" s="16" t="s">
        <v>219</v>
      </c>
      <c r="B25" s="17" t="n">
        <f aca="false">B8*B9</f>
        <v>149</v>
      </c>
      <c r="C25" s="17" t="n">
        <f aca="false">C8*C9</f>
        <v>298</v>
      </c>
      <c r="D25" s="17" t="n">
        <f aca="false">D8*D9</f>
        <v>596</v>
      </c>
      <c r="E25" s="16" t="s">
        <v>220</v>
      </c>
    </row>
    <row r="26" customFormat="false" ht="15" hidden="false" customHeight="false" outlineLevel="0" collapsed="false">
      <c r="A26" s="13" t="s">
        <v>221</v>
      </c>
      <c r="B26" s="14" t="n">
        <f aca="false">SUM(B23:B25)</f>
        <v>11959</v>
      </c>
      <c r="C26" s="14" t="n">
        <f aca="false">SUM(C23:C25)</f>
        <v>27638</v>
      </c>
      <c r="D26" s="14" t="n">
        <f aca="false">SUM(D23:D25)</f>
        <v>57436</v>
      </c>
      <c r="E26" s="15"/>
    </row>
    <row r="27" customFormat="false" ht="15" hidden="false" customHeight="false" outlineLevel="0" collapsed="false">
      <c r="A27" s="16" t="s">
        <v>222</v>
      </c>
      <c r="B27" s="17" t="n">
        <f aca="false">B26*Assumptions!B8</f>
        <v>1793.85</v>
      </c>
      <c r="C27" s="17" t="n">
        <f aca="false">C26*Assumptions!C8</f>
        <v>6909.5</v>
      </c>
      <c r="D27" s="17" t="n">
        <f aca="false">D26*Assumptions!D8</f>
        <v>20102.6</v>
      </c>
      <c r="E27" s="16" t="s">
        <v>223</v>
      </c>
    </row>
    <row r="28" customFormat="false" ht="15" hidden="false" customHeight="false" outlineLevel="0" collapsed="false">
      <c r="A28" s="13" t="s">
        <v>224</v>
      </c>
      <c r="B28" s="14" t="n">
        <f aca="false">B26+B27</f>
        <v>13752.85</v>
      </c>
      <c r="C28" s="14" t="n">
        <f aca="false">C26+C27</f>
        <v>34547.5</v>
      </c>
      <c r="D28" s="14" t="n">
        <f aca="false">D26+D27</f>
        <v>77538.6</v>
      </c>
      <c r="E28" s="15"/>
    </row>
    <row r="29" customFormat="false" ht="15" hidden="false" customHeight="false" outlineLevel="0" collapsed="false">
      <c r="A29" s="16" t="s">
        <v>225</v>
      </c>
      <c r="B29" s="18" t="n">
        <f aca="false">B28/B19</f>
        <v>0.265864382709545</v>
      </c>
      <c r="C29" s="18" t="n">
        <f aca="false">C28/C19</f>
        <v>0.381235825904973</v>
      </c>
      <c r="D29" s="18" t="n">
        <f aca="false">D28/D19</f>
        <v>0.545074405845078</v>
      </c>
      <c r="E29" s="16" t="s">
        <v>226</v>
      </c>
    </row>
    <row r="31" customFormat="false" ht="15" hidden="false" customHeight="false" outlineLevel="0" collapsed="false">
      <c r="A31" s="3" t="s">
        <v>227</v>
      </c>
      <c r="B31" s="4"/>
      <c r="C31" s="4"/>
      <c r="D31" s="4"/>
      <c r="E31" s="4"/>
    </row>
    <row r="32" customFormat="false" ht="33.75" hidden="false" customHeight="true" outlineLevel="0" collapsed="false">
      <c r="A32" s="9" t="s">
        <v>67</v>
      </c>
      <c r="B32" s="9" t="s">
        <v>9</v>
      </c>
      <c r="C32" s="9" t="s">
        <v>10</v>
      </c>
      <c r="D32" s="9" t="s">
        <v>11</v>
      </c>
      <c r="E32" s="9" t="s">
        <v>12</v>
      </c>
    </row>
    <row r="33" customFormat="false" ht="15" hidden="false" customHeight="false" outlineLevel="0" collapsed="false">
      <c r="A33" s="16" t="s">
        <v>228</v>
      </c>
      <c r="B33" s="31" t="n">
        <f aca="false">INDEX('Work Breakdown'!$D$5:$D$22,MATCH("FR-3",'Work Breakdown'!$C$5:$C$22,0))</f>
        <v>80</v>
      </c>
      <c r="C33" s="31" t="n">
        <f aca="false">INDEX('Work Breakdown'!$D$5:$D$22,MATCH("FR-3",'Work Breakdown'!$C$5:$C$22,0))</f>
        <v>80</v>
      </c>
      <c r="D33" s="31" t="n">
        <f aca="false">INDEX('Work Breakdown'!$D$5:$D$22,MATCH("FR-3",'Work Breakdown'!$C$5:$C$22,0))</f>
        <v>80</v>
      </c>
      <c r="E33" s="16" t="s">
        <v>206</v>
      </c>
    </row>
    <row r="34" customFormat="false" ht="15" hidden="false" customHeight="false" outlineLevel="0" collapsed="false">
      <c r="A34" s="16" t="s">
        <v>229</v>
      </c>
      <c r="B34" s="17" t="n">
        <f aca="false">B33*(1+Assumptions!B7)*Assumptions!B6</f>
        <v>5280</v>
      </c>
      <c r="C34" s="17" t="n">
        <f aca="false">C33*(1+Assumptions!C7)*Assumptions!C6</f>
        <v>8280</v>
      </c>
      <c r="D34" s="17" t="n">
        <f aca="false">D33*(1+Assumptions!D7)*Assumptions!D6</f>
        <v>11520</v>
      </c>
      <c r="E34" s="16" t="s">
        <v>230</v>
      </c>
    </row>
    <row r="35" customFormat="false" ht="15" hidden="false" customHeight="false" outlineLevel="0" collapsed="false">
      <c r="A35" s="16" t="s">
        <v>231</v>
      </c>
      <c r="B35" s="17" t="n">
        <f aca="false">('Non-Labor Costs'!H5+'Non-Labor Costs'!H6+'Non-Labor Costs'!H9+'Non-Labor Costs'!H10)*(1-B11)</f>
        <v>769.85</v>
      </c>
      <c r="C35" s="17" t="n">
        <f aca="false">('Non-Labor Costs'!I5+'Non-Labor Costs'!I6+'Non-Labor Costs'!I9+'Non-Labor Costs'!I10)*(1-C11)</f>
        <v>1109.8</v>
      </c>
      <c r="D35" s="17" t="n">
        <f aca="false">('Non-Labor Costs'!J5+'Non-Labor Costs'!J6+'Non-Labor Costs'!J9+'Non-Labor Costs'!J10)*(1-D11)</f>
        <v>1879.65</v>
      </c>
      <c r="E35" s="16" t="s">
        <v>232</v>
      </c>
    </row>
    <row r="36" customFormat="false" ht="15" hidden="false" customHeight="false" outlineLevel="0" collapsed="false">
      <c r="A36" s="16" t="s">
        <v>233</v>
      </c>
      <c r="B36" s="17" t="n">
        <f aca="false">B34+B35</f>
        <v>6049.85</v>
      </c>
      <c r="C36" s="17" t="n">
        <f aca="false">C34+C35</f>
        <v>9389.8</v>
      </c>
      <c r="D36" s="17" t="n">
        <f aca="false">D34+D35</f>
        <v>13399.65</v>
      </c>
      <c r="E36" s="16"/>
    </row>
    <row r="37" customFormat="false" ht="15" hidden="false" customHeight="false" outlineLevel="0" collapsed="false">
      <c r="A37" s="16" t="s">
        <v>234</v>
      </c>
      <c r="B37" s="17" t="n">
        <f aca="false">B36*Assumptions!B8</f>
        <v>907.4775</v>
      </c>
      <c r="C37" s="17" t="n">
        <f aca="false">C36*Assumptions!C8</f>
        <v>2347.45</v>
      </c>
      <c r="D37" s="17" t="n">
        <f aca="false">D36*Assumptions!D8</f>
        <v>4689.8775</v>
      </c>
      <c r="E37" s="16"/>
    </row>
    <row r="38" customFormat="false" ht="15" hidden="false" customHeight="false" outlineLevel="0" collapsed="false">
      <c r="A38" s="13" t="s">
        <v>235</v>
      </c>
      <c r="B38" s="14" t="n">
        <f aca="false">B36+B37</f>
        <v>6957.3275</v>
      </c>
      <c r="C38" s="14" t="n">
        <f aca="false">C36+C37</f>
        <v>11737.25</v>
      </c>
      <c r="D38" s="14" t="n">
        <f aca="false">D36+D37</f>
        <v>18089.5275</v>
      </c>
      <c r="E38" s="15" t="s">
        <v>236</v>
      </c>
    </row>
    <row r="39" customFormat="false" ht="15" hidden="false" customHeight="false" outlineLevel="0" collapsed="false">
      <c r="A39" s="16" t="s">
        <v>237</v>
      </c>
      <c r="B39" s="17" t="n">
        <f aca="false">B10*(1+Assumptions!B7)*Assumptions!B6*(1+Assumptions!B8)</f>
        <v>4554</v>
      </c>
      <c r="C39" s="17" t="n">
        <f aca="false">C10*(1+Assumptions!C7)*Assumptions!C6*(1+Assumptions!C8)</f>
        <v>15525</v>
      </c>
      <c r="D39" s="17" t="n">
        <f aca="false">D10*(1+Assumptions!D7)*Assumptions!D6*(1+Assumptions!D8)</f>
        <v>34992</v>
      </c>
      <c r="E39" s="16" t="s">
        <v>238</v>
      </c>
    </row>
    <row r="40" customFormat="false" ht="15" hidden="false" customHeight="false" outlineLevel="0" collapsed="false">
      <c r="A40" s="13" t="s">
        <v>239</v>
      </c>
      <c r="B40" s="14" t="n">
        <f aca="false">B39-B38</f>
        <v>-2403.3275</v>
      </c>
      <c r="C40" s="14" t="n">
        <f aca="false">C39-C38</f>
        <v>3787.75</v>
      </c>
      <c r="D40" s="14" t="n">
        <f aca="false">D39-D38</f>
        <v>16902.4725</v>
      </c>
      <c r="E40" s="15" t="s">
        <v>240</v>
      </c>
    </row>
    <row r="41" customFormat="false" ht="15" hidden="false" customHeight="false" outlineLevel="0" collapsed="false">
      <c r="A41" s="16" t="s">
        <v>241</v>
      </c>
      <c r="B41" s="18" t="n">
        <f aca="false">B40/B19</f>
        <v>-0.046460128790496</v>
      </c>
      <c r="C41" s="18" t="n">
        <f aca="false">C40/C19</f>
        <v>0.0417982777211538</v>
      </c>
      <c r="D41" s="18" t="n">
        <f aca="false">D40/D19</f>
        <v>0.118819596372004</v>
      </c>
      <c r="E41" s="16" t="s">
        <v>242</v>
      </c>
    </row>
    <row r="43" customFormat="false" ht="15" hidden="false" customHeight="false" outlineLevel="0" collapsed="false">
      <c r="A43" s="3" t="s">
        <v>243</v>
      </c>
      <c r="B43" s="4"/>
      <c r="C43" s="4"/>
      <c r="D43" s="4"/>
      <c r="E43" s="4"/>
    </row>
    <row r="44" customFormat="false" ht="33.75" hidden="false" customHeight="true" outlineLevel="0" collapsed="false">
      <c r="A44" s="9" t="s">
        <v>38</v>
      </c>
      <c r="B44" s="9" t="s">
        <v>9</v>
      </c>
      <c r="C44" s="9" t="s">
        <v>10</v>
      </c>
      <c r="D44" s="9" t="s">
        <v>11</v>
      </c>
      <c r="E44" s="9" t="s">
        <v>12</v>
      </c>
    </row>
    <row r="45" customFormat="false" ht="15" hidden="false" customHeight="false" outlineLevel="0" collapsed="false">
      <c r="A45" s="16" t="s">
        <v>244</v>
      </c>
      <c r="B45" s="17" t="n">
        <f aca="false">B28</f>
        <v>13752.85</v>
      </c>
      <c r="C45" s="17" t="n">
        <f aca="false">C28</f>
        <v>34547.5</v>
      </c>
      <c r="D45" s="17" t="n">
        <f aca="false">D28</f>
        <v>77538.6</v>
      </c>
      <c r="E45" s="16" t="s">
        <v>245</v>
      </c>
    </row>
    <row r="46" customFormat="false" ht="15" hidden="false" customHeight="false" outlineLevel="0" collapsed="false">
      <c r="A46" s="16" t="s">
        <v>246</v>
      </c>
      <c r="B46" s="17" t="n">
        <f aca="false">-B38</f>
        <v>-6957.3275</v>
      </c>
      <c r="C46" s="17" t="n">
        <f aca="false">-C38</f>
        <v>-11737.25</v>
      </c>
      <c r="D46" s="17" t="n">
        <f aca="false">-D38</f>
        <v>-18089.5275</v>
      </c>
      <c r="E46" s="16" t="s">
        <v>247</v>
      </c>
    </row>
    <row r="47" customFormat="false" ht="15" hidden="false" customHeight="false" outlineLevel="0" collapsed="false">
      <c r="A47" s="16" t="s">
        <v>41</v>
      </c>
      <c r="B47" s="17" t="n">
        <f aca="false">B40</f>
        <v>-2403.3275</v>
      </c>
      <c r="C47" s="17" t="n">
        <f aca="false">C40</f>
        <v>3787.75</v>
      </c>
      <c r="D47" s="17" t="n">
        <f aca="false">D40</f>
        <v>16902.4725</v>
      </c>
      <c r="E47" s="16" t="s">
        <v>248</v>
      </c>
    </row>
    <row r="48" customFormat="false" ht="15" hidden="false" customHeight="false" outlineLevel="0" collapsed="false">
      <c r="A48" s="13" t="s">
        <v>249</v>
      </c>
      <c r="B48" s="14" t="n">
        <f aca="false">B19+B45</f>
        <v>65481.667</v>
      </c>
      <c r="C48" s="14" t="n">
        <f aca="false">C19+C45</f>
        <v>125167.2625</v>
      </c>
      <c r="D48" s="14" t="n">
        <f aca="false">D19+D45</f>
        <v>219791.8395</v>
      </c>
      <c r="E48" s="15"/>
    </row>
    <row r="49" customFormat="false" ht="15" hidden="false" customHeight="false" outlineLevel="0" collapsed="false">
      <c r="A49" s="13" t="s">
        <v>250</v>
      </c>
      <c r="B49" s="14" t="n">
        <f aca="false">B19+B47</f>
        <v>49325.4895</v>
      </c>
      <c r="C49" s="14" t="n">
        <f aca="false">C19+C47</f>
        <v>94407.5125</v>
      </c>
      <c r="D49" s="14" t="n">
        <f aca="false">D19+D47</f>
        <v>159155.712</v>
      </c>
      <c r="E49" s="15"/>
    </row>
    <row r="50" customFormat="false" ht="31.5" hidden="false" customHeight="true" outlineLevel="0" collapsed="false">
      <c r="A50" s="40" t="s">
        <v>251</v>
      </c>
      <c r="B50" s="40"/>
      <c r="C50" s="40"/>
      <c r="D50" s="40"/>
      <c r="E50" s="40"/>
    </row>
  </sheetData>
  <mergeCells count="1">
    <mergeCell ref="A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66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4" customFormat="false" ht="33.75" hidden="false" customHeight="true" outlineLevel="0" collapsed="false">
      <c r="A4" s="9" t="s">
        <v>254</v>
      </c>
      <c r="B4" s="9" t="s">
        <v>255</v>
      </c>
      <c r="C4" s="9" t="s">
        <v>256</v>
      </c>
      <c r="D4" s="9" t="s">
        <v>257</v>
      </c>
      <c r="E4" s="9" t="s">
        <v>258</v>
      </c>
      <c r="F4" s="9" t="s">
        <v>12</v>
      </c>
    </row>
    <row r="5" customFormat="false" ht="23.85" hidden="false" customHeight="false" outlineLevel="0" collapsed="false">
      <c r="A5" s="41" t="s">
        <v>259</v>
      </c>
      <c r="B5" s="12" t="s">
        <v>260</v>
      </c>
      <c r="C5" s="12" t="s">
        <v>261</v>
      </c>
      <c r="D5" s="12" t="s">
        <v>262</v>
      </c>
      <c r="E5" s="12" t="s">
        <v>263</v>
      </c>
      <c r="F5" s="12" t="s">
        <v>264</v>
      </c>
    </row>
    <row r="6" customFormat="false" ht="23.85" hidden="false" customHeight="false" outlineLevel="0" collapsed="false">
      <c r="A6" s="41" t="s">
        <v>265</v>
      </c>
      <c r="B6" s="12" t="s">
        <v>266</v>
      </c>
      <c r="C6" s="12" t="s">
        <v>267</v>
      </c>
      <c r="D6" s="12" t="s">
        <v>268</v>
      </c>
      <c r="E6" s="12" t="s">
        <v>269</v>
      </c>
      <c r="F6" s="12" t="s">
        <v>270</v>
      </c>
    </row>
    <row r="7" customFormat="false" ht="15" hidden="false" customHeight="false" outlineLevel="0" collapsed="false">
      <c r="A7" s="41" t="s">
        <v>271</v>
      </c>
      <c r="B7" s="12" t="s">
        <v>272</v>
      </c>
      <c r="C7" s="12" t="s">
        <v>273</v>
      </c>
      <c r="D7" s="12" t="s">
        <v>274</v>
      </c>
      <c r="E7" s="12" t="s">
        <v>275</v>
      </c>
      <c r="F7" s="12" t="s">
        <v>276</v>
      </c>
    </row>
    <row r="8" customFormat="false" ht="15" hidden="false" customHeight="false" outlineLevel="0" collapsed="false">
      <c r="A8" s="41" t="s">
        <v>277</v>
      </c>
      <c r="B8" s="12" t="s">
        <v>278</v>
      </c>
      <c r="C8" s="12" t="s">
        <v>279</v>
      </c>
      <c r="D8" s="12" t="s">
        <v>280</v>
      </c>
      <c r="E8" s="12"/>
      <c r="F8" s="12" t="s">
        <v>281</v>
      </c>
    </row>
    <row r="9" customFormat="false" ht="15" hidden="false" customHeight="false" outlineLevel="0" collapsed="false">
      <c r="A9" s="41" t="s">
        <v>282</v>
      </c>
      <c r="B9" s="12" t="s">
        <v>283</v>
      </c>
      <c r="C9" s="12" t="s">
        <v>284</v>
      </c>
      <c r="D9" s="12" t="s">
        <v>285</v>
      </c>
      <c r="E9" s="12" t="s">
        <v>286</v>
      </c>
      <c r="F9" s="12" t="s">
        <v>287</v>
      </c>
    </row>
    <row r="10" customFormat="false" ht="23.85" hidden="false" customHeight="false" outlineLevel="0" collapsed="false">
      <c r="A10" s="41" t="s">
        <v>288</v>
      </c>
      <c r="B10" s="12" t="s">
        <v>289</v>
      </c>
      <c r="C10" s="12" t="s">
        <v>290</v>
      </c>
      <c r="D10" s="12" t="s">
        <v>291</v>
      </c>
      <c r="E10" s="12" t="s">
        <v>292</v>
      </c>
      <c r="F10" s="12" t="s">
        <v>293</v>
      </c>
    </row>
    <row r="12" customFormat="false" ht="15" hidden="false" customHeight="false" outlineLevel="0" collapsed="false">
      <c r="A12" s="3" t="s">
        <v>294</v>
      </c>
      <c r="B12" s="4"/>
      <c r="C12" s="4"/>
      <c r="D12" s="4"/>
      <c r="E12" s="4"/>
      <c r="F12" s="4"/>
    </row>
    <row r="13" customFormat="false" ht="30" hidden="false" customHeight="true" outlineLevel="0" collapsed="false">
      <c r="A13" s="20" t="s">
        <v>295</v>
      </c>
      <c r="B13" s="20"/>
      <c r="C13" s="20"/>
      <c r="D13" s="20"/>
      <c r="E13" s="20"/>
      <c r="F13" s="20"/>
    </row>
    <row r="14" customFormat="false" ht="30" hidden="false" customHeight="true" outlineLevel="0" collapsed="false">
      <c r="A14" s="20" t="s">
        <v>296</v>
      </c>
      <c r="B14" s="20"/>
      <c r="C14" s="20"/>
      <c r="D14" s="20"/>
      <c r="E14" s="20"/>
      <c r="F14" s="20"/>
    </row>
    <row r="15" customFormat="false" ht="30" hidden="false" customHeight="true" outlineLevel="0" collapsed="false">
      <c r="A15" s="20" t="s">
        <v>297</v>
      </c>
      <c r="B15" s="20"/>
      <c r="C15" s="20"/>
      <c r="D15" s="20"/>
      <c r="E15" s="20"/>
      <c r="F15" s="20"/>
    </row>
    <row r="16" customFormat="false" ht="30" hidden="false" customHeight="true" outlineLevel="0" collapsed="false">
      <c r="A16" s="20" t="s">
        <v>298</v>
      </c>
      <c r="B16" s="20"/>
      <c r="C16" s="20"/>
      <c r="D16" s="20"/>
      <c r="E16" s="20"/>
      <c r="F16" s="20"/>
    </row>
    <row r="17" customFormat="false" ht="30" hidden="false" customHeight="true" outlineLevel="0" collapsed="false">
      <c r="A17" s="20" t="s">
        <v>299</v>
      </c>
      <c r="B17" s="20"/>
      <c r="C17" s="20"/>
      <c r="D17" s="20"/>
      <c r="E17" s="20"/>
      <c r="F17" s="20"/>
    </row>
  </sheetData>
  <mergeCells count="5">
    <mergeCell ref="A13:F13"/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2026-10-10T23:37:37Z</dcterms:created>
  <dc:creator>openpyxl</dc:creator>
  <dc:description/>
  <dc:language>en-US</dc:language>
  <cp:lastModifiedBy/>
  <dcterms:modified xsi:type="dcterms:W3CDTF">2026-10-10T23:37:39Z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